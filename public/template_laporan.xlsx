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495s\Downloads\"/>
    </mc:Choice>
  </mc:AlternateContent>
  <xr:revisionPtr revIDLastSave="0" documentId="13_ncr:1_{AFFA2277-B86B-4CC7-9132-CD99888168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2DES" sheetId="6" r:id="rId1"/>
    <sheet name="07 DES" sheetId="8" r:id="rId2"/>
    <sheet name="14 DES" sheetId="9" r:id="rId3"/>
    <sheet name="Laporan Pengajuan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10" l="1"/>
  <c r="E37" i="10"/>
  <c r="B37" i="10"/>
  <c r="H37" i="9"/>
  <c r="E37" i="9"/>
  <c r="B37" i="9"/>
  <c r="H37" i="8"/>
  <c r="E37" i="8"/>
  <c r="B37" i="8"/>
  <c r="H37" i="6"/>
  <c r="E37" i="6"/>
  <c r="B37" i="6"/>
  <c r="B76" i="10" l="1"/>
  <c r="B76" i="9"/>
  <c r="B76" i="8"/>
  <c r="B76" i="6"/>
</calcChain>
</file>

<file path=xl/sharedStrings.xml><?xml version="1.0" encoding="utf-8"?>
<sst xmlns="http://schemas.openxmlformats.org/spreadsheetml/2006/main" count="446" uniqueCount="179">
  <si>
    <t>PERMINTAAN UANG &amp; BARANG</t>
  </si>
  <si>
    <t>DI AJUKAN</t>
  </si>
  <si>
    <t>DI SETUJUI</t>
  </si>
  <si>
    <t>NAMA LEMBAGA</t>
  </si>
  <si>
    <t>: PT. Wedding Organizer</t>
  </si>
  <si>
    <t xml:space="preserve">                             tgl. </t>
  </si>
  <si>
    <t>NOMER</t>
  </si>
  <si>
    <t>TANGGAL</t>
  </si>
  <si>
    <t>(                                        )</t>
  </si>
  <si>
    <t>PERMINTAAN DANA</t>
  </si>
  <si>
    <t>VENDOR</t>
  </si>
  <si>
    <t>KASBON</t>
  </si>
  <si>
    <t>OPERASIONAL</t>
  </si>
  <si>
    <t>ITEM</t>
  </si>
  <si>
    <t>NOMINAL (Rp.)</t>
  </si>
  <si>
    <t>TOTAL</t>
  </si>
  <si>
    <t>PERMINTAAN BARANG</t>
  </si>
  <si>
    <t>KANTOR</t>
  </si>
  <si>
    <t>GUDANG</t>
  </si>
  <si>
    <t>JUMLAH</t>
  </si>
  <si>
    <t>NISRIN</t>
  </si>
  <si>
    <t>FAJAR</t>
  </si>
  <si>
    <t>NICOH</t>
  </si>
  <si>
    <t>AGUNG</t>
  </si>
  <si>
    <t>STUDIO</t>
  </si>
  <si>
    <t xml:space="preserve"> </t>
  </si>
  <si>
    <t xml:space="preserve">TOTAL PERMINTAAN UANG </t>
  </si>
  <si>
    <t>X</t>
  </si>
  <si>
    <t>DI TOLAK</t>
  </si>
  <si>
    <t xml:space="preserve">KOREKSI                                     </t>
  </si>
  <si>
    <t>~</t>
  </si>
  <si>
    <t>DI HOLD</t>
  </si>
  <si>
    <t xml:space="preserve">LEBIH / KURANG                      </t>
  </si>
  <si>
    <t>#</t>
  </si>
  <si>
    <t>DI BELI DAHULU</t>
  </si>
  <si>
    <t xml:space="preserve">FINAL KOREKSI                       </t>
  </si>
  <si>
    <t>ᴠ</t>
  </si>
  <si>
    <t>DI ACC</t>
  </si>
  <si>
    <t>BABAY</t>
  </si>
  <si>
    <t>GUFRON</t>
  </si>
  <si>
    <t>RIRIN</t>
  </si>
  <si>
    <t>TELOR</t>
  </si>
  <si>
    <t>MINYAK</t>
  </si>
  <si>
    <t>TEMPE</t>
  </si>
  <si>
    <t>BAWANG MERAH</t>
  </si>
  <si>
    <t>MASAKO</t>
  </si>
  <si>
    <t>CABE MERAH</t>
  </si>
  <si>
    <t>CABE RAWIT</t>
  </si>
  <si>
    <t>KECAP</t>
  </si>
  <si>
    <t>TOMAT</t>
  </si>
  <si>
    <t>MAKAN KURA</t>
  </si>
  <si>
    <t>UANG SAYUR</t>
  </si>
  <si>
    <t>TOKEN LISTRIK</t>
  </si>
  <si>
    <t>TERIGU</t>
  </si>
  <si>
    <t>SASA</t>
  </si>
  <si>
    <t>SABUN CAIR</t>
  </si>
  <si>
    <t>SABUN BATANG</t>
  </si>
  <si>
    <t>CITRUN</t>
  </si>
  <si>
    <t>PEMUTIH</t>
  </si>
  <si>
    <t>SABUN COLEK</t>
  </si>
  <si>
    <t>ISI STAPLES</t>
  </si>
  <si>
    <t>LAKBAN KERTAS</t>
  </si>
  <si>
    <t>JARUM PENTUL</t>
  </si>
  <si>
    <t>DOUBLE TIP</t>
  </si>
  <si>
    <t>ISI CUTTER</t>
  </si>
  <si>
    <t>IKAN ASIN</t>
  </si>
  <si>
    <t>KASBON BABAY</t>
  </si>
  <si>
    <t>BELANJA ONLINE</t>
  </si>
  <si>
    <t>TAHU</t>
  </si>
  <si>
    <t>BAYAR MELATI</t>
  </si>
  <si>
    <t>KASBON AMIRAH</t>
  </si>
  <si>
    <t>: 31</t>
  </si>
  <si>
    <t>KUOTA LIVE</t>
  </si>
  <si>
    <t>KERTAS F4</t>
  </si>
  <si>
    <t>KASBON AGUNG</t>
  </si>
  <si>
    <t>LAKBAN BENING</t>
  </si>
  <si>
    <t>KABEL TIES</t>
  </si>
  <si>
    <t>TALI RAPIA</t>
  </si>
  <si>
    <t>UANG JALAN SAKHI</t>
  </si>
  <si>
    <t>KASBON AMEL</t>
  </si>
  <si>
    <t>UANG JALAN FAJAR</t>
  </si>
  <si>
    <t>KASBON SAIPUL</t>
  </si>
  <si>
    <t>BAWANG PUTIH</t>
  </si>
  <si>
    <t>KERUPUK</t>
  </si>
  <si>
    <t>TIMUN</t>
  </si>
  <si>
    <t>SERVICE MOBIL COLT</t>
  </si>
  <si>
    <t>SERVICE LAPTOP</t>
  </si>
  <si>
    <t>UANG JALAN LIVE 2 LOK</t>
  </si>
  <si>
    <t>SABUK WEBING</t>
  </si>
  <si>
    <t>UANG BELANJA MAKE UP</t>
  </si>
  <si>
    <t>REMBES AIR BOTOL 5DUS</t>
  </si>
  <si>
    <t>REMBES BELANJA MAKE UP</t>
  </si>
  <si>
    <t>CETAK CANVAS 40X60</t>
  </si>
  <si>
    <t>CETAK BANNER WELCOME SIGN</t>
  </si>
  <si>
    <t>REMBES BENSIN AMBIL BANNER</t>
  </si>
  <si>
    <t>KABEL ROLL AN</t>
  </si>
  <si>
    <t xml:space="preserve">   </t>
  </si>
  <si>
    <t>UANG JALAN MAKE UP</t>
  </si>
  <si>
    <t>KASBON NICOH</t>
  </si>
  <si>
    <t>UANG JALAN NICOH</t>
  </si>
  <si>
    <t>REMBES BELI OTOMATIS STEAM</t>
  </si>
  <si>
    <t>REMBES UANG MINYAK</t>
  </si>
  <si>
    <t>SELANG 15M</t>
  </si>
  <si>
    <t>DP FG FAHRI</t>
  </si>
  <si>
    <t>REMBES CETAK BANNER SPPG</t>
  </si>
  <si>
    <t>SERVICE BRIO</t>
  </si>
  <si>
    <t>BUNGA</t>
  </si>
  <si>
    <t>HP ADMIN</t>
  </si>
  <si>
    <t>AIR,LISTRIK,GDRIVE,WIFI</t>
  </si>
  <si>
    <t>tgl.02/12/2025</t>
  </si>
  <si>
    <t>:02 DESEMBER 2025</t>
  </si>
  <si>
    <t>:07 DESEMBER 2025</t>
  </si>
  <si>
    <t>tgl.07/12/2025</t>
  </si>
  <si>
    <t>BINGKAI 40X60</t>
  </si>
  <si>
    <t>4 PCS</t>
  </si>
  <si>
    <t>UANG JALAN SELLY</t>
  </si>
  <si>
    <t>KASBON DEDI</t>
  </si>
  <si>
    <t>KEPERLUAR MOBIL CRV</t>
  </si>
  <si>
    <t>REMBES BENSIN</t>
  </si>
  <si>
    <t>STEAM MOBIL CRV</t>
  </si>
  <si>
    <t>KASBON SAIFUL</t>
  </si>
  <si>
    <t>GAREM</t>
  </si>
  <si>
    <t>TALI TIES</t>
  </si>
  <si>
    <t>JARUM</t>
  </si>
  <si>
    <t>MATERAI</t>
  </si>
  <si>
    <t>CHARGER TYPE C</t>
  </si>
  <si>
    <t>KASBON ARIP</t>
  </si>
  <si>
    <t>UANG JALAN GUFRON</t>
  </si>
  <si>
    <t>MUA ERLIN</t>
  </si>
  <si>
    <t>MUA IGA</t>
  </si>
  <si>
    <t>REMBES BELANJA MUA</t>
  </si>
  <si>
    <t>PELUNASAN FG FAHRI</t>
  </si>
  <si>
    <t>PELUNASAN FG ROMLI</t>
  </si>
  <si>
    <t>CUTTER</t>
  </si>
  <si>
    <t>GUNTING</t>
  </si>
  <si>
    <t>MATERIAL BABAY</t>
  </si>
  <si>
    <t>SERVICE COLT</t>
  </si>
  <si>
    <t>GAJI DESTI</t>
  </si>
  <si>
    <t>KAWAT LAS</t>
  </si>
  <si>
    <t>2KG</t>
  </si>
  <si>
    <t xml:space="preserve">WD </t>
  </si>
  <si>
    <t>CAPCUT PRO</t>
  </si>
  <si>
    <t>BINGKAI 5R</t>
  </si>
  <si>
    <t>6 PCS</t>
  </si>
  <si>
    <t>FlASHDISK</t>
  </si>
  <si>
    <t>KASBON RIRIN</t>
  </si>
  <si>
    <t>CHARGER HP ADMIN</t>
  </si>
  <si>
    <t>TISSUE</t>
  </si>
  <si>
    <t>TIPE X</t>
  </si>
  <si>
    <t>CLIP HITAM</t>
  </si>
  <si>
    <t>KASBON NISRIN</t>
  </si>
  <si>
    <t>UANG JALAN SURVEI</t>
  </si>
  <si>
    <t>CETAK BANNER BACKDROP</t>
  </si>
  <si>
    <t>RUMBAI WARNA PUTIH</t>
  </si>
  <si>
    <t xml:space="preserve">MINYAK </t>
  </si>
  <si>
    <t>CABE MERAH C</t>
  </si>
  <si>
    <t>KEPALA  AYAM/CEKER</t>
  </si>
  <si>
    <t>GULA PUTIH</t>
  </si>
  <si>
    <t>CETAK STIKER WELCOME SIGN</t>
  </si>
  <si>
    <t>WELCOME SIGN</t>
  </si>
  <si>
    <t>BATRE KINGMA LP-E17</t>
  </si>
  <si>
    <t>2 PCS</t>
  </si>
  <si>
    <t>LAMPU GLITER BUNGA GEDE</t>
  </si>
  <si>
    <t>CETAK KOLASE</t>
  </si>
  <si>
    <t>TALI TIS</t>
  </si>
  <si>
    <t>DOUBEL TIP</t>
  </si>
  <si>
    <t>VOICE RECORDER</t>
  </si>
  <si>
    <t>TAMBAHAN SERVICE LAPTOP</t>
  </si>
  <si>
    <t>HAIR DO</t>
  </si>
  <si>
    <t>BELANJA MUA</t>
  </si>
  <si>
    <t>REMBES UANG JALAN FAJAR</t>
  </si>
  <si>
    <t>TEST FOOD</t>
  </si>
  <si>
    <t>:15  DESEMBER 2025</t>
  </si>
  <si>
    <t>tgl.15/12/2025</t>
  </si>
  <si>
    <t>GARAM</t>
  </si>
  <si>
    <t>BERAS 50KG</t>
  </si>
  <si>
    <t>KARUNG 50KG</t>
  </si>
  <si>
    <t>20 PCS</t>
  </si>
  <si>
    <t>:DESEMBER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</si>
</sst>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.00_-;\-[$Rp-421]* #,##0.00_-;_-[$Rp-421]* &quot;-&quot;??_-;_-@"/>
    <numFmt numFmtId="165" formatCode="_-[$Rp-3809]* #,##0.00_-;\-[$Rp-3809]* #,##0.00_-;_-[$Rp-3809]* &quot;-&quot;??_-;_-@"/>
    <numFmt numFmtId="166" formatCode="#\ &quot;Kg&quot;"/>
  </numFmts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b/>
      <sz val="28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  <font>
      <sz val="14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BD4B4"/>
      </patternFill>
    </fill>
    <fill>
      <patternFill patternType="solid">
        <fgColor rgb="FFFFFF0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theme="0"/>
        <bgColor theme="0"/>
      </patternFill>
    </fill>
    <fill>
      <patternFill patternType="solid">
        <fgColor rgb="FFFF7C8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9594"/>
      </patternFill>
    </fill>
    <fill>
      <patternFill patternType="solid">
        <fgColor rgb="FFFF7C8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0066"/>
        <bgColor rgb="FFFF0066"/>
      </patternFill>
    </fill>
    <fill>
      <patternFill patternType="solid">
        <fgColor rgb="FF00B050"/>
        <bgColor rgb="FF00B050"/>
      </patternFill>
    </fill>
    <fill>
      <patternFill patternType="solid">
        <fgColor rgb="FFF09288"/>
        <bgColor indexed="64"/>
      </patternFill>
    </fill>
    <fill>
      <patternFill patternType="solid">
        <fgColor rgb="FFF09288"/>
        <bgColor theme="0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/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dotted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/>
    <xf numFmtId="164" fontId="1" fillId="0" borderId="7" xfId="0" applyNumberFormat="1" applyFont="1" applyBorder="1"/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13" xfId="0" applyNumberFormat="1" applyFont="1" applyBorder="1"/>
    <xf numFmtId="164" fontId="1" fillId="0" borderId="14" xfId="0" applyNumberFormat="1" applyFont="1" applyBorder="1"/>
    <xf numFmtId="0" fontId="1" fillId="0" borderId="13" xfId="0" applyFont="1" applyBorder="1"/>
    <xf numFmtId="164" fontId="1" fillId="0" borderId="13" xfId="0" applyNumberFormat="1" applyFont="1" applyBorder="1"/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/>
    <xf numFmtId="164" fontId="1" fillId="0" borderId="15" xfId="0" applyNumberFormat="1" applyFont="1" applyBorder="1"/>
    <xf numFmtId="0" fontId="1" fillId="0" borderId="14" xfId="0" applyFont="1" applyBorder="1"/>
    <xf numFmtId="0" fontId="4" fillId="4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5" borderId="13" xfId="0" applyFont="1" applyFill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1" fillId="5" borderId="13" xfId="0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164" fontId="1" fillId="0" borderId="19" xfId="0" applyNumberFormat="1" applyFont="1" applyBorder="1"/>
    <xf numFmtId="0" fontId="7" fillId="5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5" fillId="8" borderId="13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15" xfId="0" applyFont="1" applyBorder="1"/>
    <xf numFmtId="164" fontId="1" fillId="0" borderId="23" xfId="0" applyNumberFormat="1" applyFont="1" applyBorder="1"/>
    <xf numFmtId="0" fontId="7" fillId="9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164" fontId="5" fillId="0" borderId="13" xfId="0" applyNumberFormat="1" applyFont="1" applyBorder="1"/>
    <xf numFmtId="0" fontId="5" fillId="5" borderId="13" xfId="0" applyFont="1" applyFill="1" applyBorder="1" applyAlignment="1">
      <alignment horizontal="center"/>
    </xf>
    <xf numFmtId="164" fontId="5" fillId="0" borderId="24" xfId="0" applyNumberFormat="1" applyFont="1" applyBorder="1"/>
    <xf numFmtId="0" fontId="5" fillId="5" borderId="21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164" fontId="5" fillId="0" borderId="25" xfId="0" applyNumberFormat="1" applyFont="1" applyBorder="1"/>
    <xf numFmtId="0" fontId="5" fillId="5" borderId="3" xfId="0" applyFont="1" applyFill="1" applyBorder="1"/>
    <xf numFmtId="0" fontId="5" fillId="5" borderId="26" xfId="0" applyFont="1" applyFill="1" applyBorder="1" applyAlignment="1">
      <alignment horizontal="center"/>
    </xf>
    <xf numFmtId="164" fontId="10" fillId="0" borderId="25" xfId="0" applyNumberFormat="1" applyFont="1" applyBorder="1"/>
    <xf numFmtId="0" fontId="1" fillId="0" borderId="27" xfId="0" applyFont="1" applyBorder="1"/>
    <xf numFmtId="164" fontId="1" fillId="0" borderId="27" xfId="0" applyNumberFormat="1" applyFont="1" applyBorder="1"/>
    <xf numFmtId="164" fontId="1" fillId="0" borderId="28" xfId="0" applyNumberFormat="1" applyFont="1" applyBorder="1"/>
    <xf numFmtId="0" fontId="1" fillId="0" borderId="29" xfId="0" applyFont="1" applyBorder="1"/>
    <xf numFmtId="0" fontId="1" fillId="0" borderId="30" xfId="0" applyFont="1" applyBorder="1" applyAlignment="1">
      <alignment horizontal="center"/>
    </xf>
    <xf numFmtId="0" fontId="1" fillId="0" borderId="16" xfId="0" applyFont="1" applyBorder="1"/>
    <xf numFmtId="164" fontId="1" fillId="0" borderId="16" xfId="0" applyNumberFormat="1" applyFont="1" applyBorder="1"/>
    <xf numFmtId="0" fontId="1" fillId="0" borderId="9" xfId="0" applyFont="1" applyBorder="1"/>
    <xf numFmtId="164" fontId="11" fillId="0" borderId="12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0" fontId="7" fillId="14" borderId="20" xfId="0" applyFont="1" applyFill="1" applyBorder="1" applyAlignment="1">
      <alignment horizontal="center"/>
    </xf>
    <xf numFmtId="0" fontId="7" fillId="15" borderId="20" xfId="0" applyFont="1" applyFill="1" applyBorder="1" applyAlignment="1">
      <alignment horizontal="center"/>
    </xf>
    <xf numFmtId="0" fontId="14" fillId="5" borderId="3" xfId="0" applyFont="1" applyFill="1" applyBorder="1"/>
    <xf numFmtId="0" fontId="14" fillId="5" borderId="26" xfId="0" applyFont="1" applyFill="1" applyBorder="1" applyAlignment="1">
      <alignment horizontal="center"/>
    </xf>
    <xf numFmtId="0" fontId="14" fillId="5" borderId="15" xfId="0" applyFont="1" applyFill="1" applyBorder="1"/>
    <xf numFmtId="165" fontId="5" fillId="0" borderId="13" xfId="0" applyNumberFormat="1" applyFont="1" applyBorder="1"/>
    <xf numFmtId="0" fontId="5" fillId="5" borderId="20" xfId="0" applyFont="1" applyFill="1" applyBorder="1"/>
    <xf numFmtId="164" fontId="5" fillId="0" borderId="19" xfId="0" applyNumberFormat="1" applyFont="1" applyBorder="1"/>
    <xf numFmtId="164" fontId="9" fillId="0" borderId="14" xfId="0" applyNumberFormat="1" applyFont="1" applyBorder="1"/>
    <xf numFmtId="164" fontId="9" fillId="0" borderId="13" xfId="0" applyNumberFormat="1" applyFont="1" applyBorder="1"/>
    <xf numFmtId="165" fontId="15" fillId="0" borderId="13" xfId="0" applyNumberFormat="1" applyFont="1" applyBorder="1"/>
    <xf numFmtId="0" fontId="15" fillId="0" borderId="13" xfId="0" applyFont="1" applyBorder="1"/>
    <xf numFmtId="0" fontId="1" fillId="7" borderId="20" xfId="0" applyFont="1" applyFill="1" applyBorder="1" applyAlignment="1">
      <alignment horizontal="left"/>
    </xf>
    <xf numFmtId="0" fontId="15" fillId="0" borderId="3" xfId="0" applyFont="1" applyBorder="1"/>
    <xf numFmtId="0" fontId="1" fillId="0" borderId="0" xfId="0" applyFont="1"/>
    <xf numFmtId="164" fontId="1" fillId="0" borderId="0" xfId="0" applyNumberFormat="1" applyFont="1"/>
    <xf numFmtId="164" fontId="4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9" fillId="0" borderId="21" xfId="0" applyNumberFormat="1" applyFont="1" applyBorder="1"/>
    <xf numFmtId="165" fontId="1" fillId="0" borderId="21" xfId="0" applyNumberFormat="1" applyFont="1" applyBorder="1"/>
    <xf numFmtId="0" fontId="1" fillId="0" borderId="26" xfId="0" applyFont="1" applyBorder="1"/>
    <xf numFmtId="0" fontId="1" fillId="0" borderId="36" xfId="0" applyFont="1" applyBorder="1"/>
    <xf numFmtId="0" fontId="5" fillId="0" borderId="21" xfId="0" applyFont="1" applyBorder="1" applyAlignment="1">
      <alignment horizontal="center"/>
    </xf>
    <xf numFmtId="166" fontId="5" fillId="0" borderId="21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2" fontId="8" fillId="0" borderId="21" xfId="0" applyNumberFormat="1" applyFont="1" applyBorder="1" applyAlignment="1">
      <alignment horizontal="center" vertical="center"/>
    </xf>
    <xf numFmtId="12" fontId="8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" fillId="10" borderId="11" xfId="0" applyFont="1" applyFill="1" applyBorder="1"/>
    <xf numFmtId="0" fontId="1" fillId="11" borderId="11" xfId="0" applyFont="1" applyFill="1" applyBorder="1"/>
    <xf numFmtId="0" fontId="1" fillId="12" borderId="11" xfId="0" applyFont="1" applyFill="1" applyBorder="1"/>
    <xf numFmtId="0" fontId="1" fillId="13" borderId="11" xfId="0" applyFont="1" applyFill="1" applyBorder="1"/>
    <xf numFmtId="0" fontId="1" fillId="0" borderId="33" xfId="0" applyFont="1" applyBorder="1"/>
    <xf numFmtId="0" fontId="1" fillId="0" borderId="37" xfId="0" applyFont="1" applyBorder="1"/>
    <xf numFmtId="0" fontId="1" fillId="0" borderId="38" xfId="0" applyFont="1" applyBorder="1" applyAlignment="1">
      <alignment horizontal="center" vertical="center"/>
    </xf>
    <xf numFmtId="0" fontId="9" fillId="0" borderId="24" xfId="0" applyFont="1" applyBorder="1"/>
    <xf numFmtId="0" fontId="1" fillId="0" borderId="24" xfId="0" applyFont="1" applyBorder="1"/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7" fillId="4" borderId="35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left"/>
    </xf>
    <xf numFmtId="0" fontId="1" fillId="0" borderId="39" xfId="0" applyFont="1" applyBorder="1"/>
    <xf numFmtId="0" fontId="1" fillId="5" borderId="25" xfId="0" applyFont="1" applyFill="1" applyBorder="1" applyAlignment="1">
      <alignment horizontal="left"/>
    </xf>
    <xf numFmtId="0" fontId="5" fillId="5" borderId="35" xfId="0" applyFont="1" applyFill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24" xfId="0" applyFont="1" applyBorder="1"/>
    <xf numFmtId="0" fontId="5" fillId="7" borderId="25" xfId="0" applyFont="1" applyFill="1" applyBorder="1" applyAlignment="1">
      <alignment horizontal="left"/>
    </xf>
    <xf numFmtId="0" fontId="1" fillId="0" borderId="35" xfId="0" applyFont="1" applyBorder="1"/>
    <xf numFmtId="0" fontId="1" fillId="0" borderId="34" xfId="0" applyFont="1" applyBorder="1"/>
    <xf numFmtId="0" fontId="0" fillId="0" borderId="33" xfId="0" applyBorder="1"/>
    <xf numFmtId="165" fontId="15" fillId="0" borderId="21" xfId="0" applyNumberFormat="1" applyFont="1" applyBorder="1"/>
    <xf numFmtId="0" fontId="15" fillId="0" borderId="24" xfId="0" applyFont="1" applyBorder="1"/>
    <xf numFmtId="0" fontId="1" fillId="0" borderId="43" xfId="0" applyFont="1" applyBorder="1"/>
    <xf numFmtId="0" fontId="1" fillId="0" borderId="47" xfId="0" applyFont="1" applyBorder="1"/>
    <xf numFmtId="0" fontId="1" fillId="0" borderId="53" xfId="0" applyFont="1" applyBorder="1" applyAlignment="1">
      <alignment horizontal="center" vertical="center"/>
    </xf>
    <xf numFmtId="0" fontId="15" fillId="0" borderId="55" xfId="0" applyFont="1" applyBorder="1"/>
    <xf numFmtId="164" fontId="9" fillId="0" borderId="56" xfId="0" applyNumberFormat="1" applyFont="1" applyBorder="1"/>
    <xf numFmtId="164" fontId="9" fillId="0" borderId="57" xfId="0" applyNumberFormat="1" applyFont="1" applyBorder="1"/>
    <xf numFmtId="0" fontId="5" fillId="0" borderId="55" xfId="0" applyFont="1" applyBorder="1"/>
    <xf numFmtId="0" fontId="1" fillId="0" borderId="55" xfId="0" applyFont="1" applyBorder="1"/>
    <xf numFmtId="164" fontId="1" fillId="0" borderId="57" xfId="0" applyNumberFormat="1" applyFont="1" applyBorder="1"/>
    <xf numFmtId="0" fontId="1" fillId="0" borderId="55" xfId="0" applyFont="1" applyBorder="1" applyAlignment="1">
      <alignment horizontal="center" vertical="center"/>
    </xf>
    <xf numFmtId="0" fontId="1" fillId="0" borderId="58" xfId="0" applyFont="1" applyBorder="1"/>
    <xf numFmtId="164" fontId="1" fillId="0" borderId="59" xfId="0" applyNumberFormat="1" applyFont="1" applyBorder="1"/>
    <xf numFmtId="0" fontId="7" fillId="4" borderId="55" xfId="0" applyFont="1" applyFill="1" applyBorder="1" applyAlignment="1">
      <alignment horizontal="center"/>
    </xf>
    <xf numFmtId="164" fontId="1" fillId="0" borderId="56" xfId="0" applyNumberFormat="1" applyFont="1" applyBorder="1"/>
    <xf numFmtId="0" fontId="7" fillId="4" borderId="61" xfId="0" applyFont="1" applyFill="1" applyBorder="1" applyAlignment="1">
      <alignment horizontal="center"/>
    </xf>
    <xf numFmtId="0" fontId="1" fillId="5" borderId="55" xfId="0" applyFont="1" applyFill="1" applyBorder="1"/>
    <xf numFmtId="0" fontId="5" fillId="5" borderId="55" xfId="0" applyFont="1" applyFill="1" applyBorder="1"/>
    <xf numFmtId="0" fontId="4" fillId="5" borderId="55" xfId="0" applyFont="1" applyFill="1" applyBorder="1" applyAlignment="1">
      <alignment horizontal="center"/>
    </xf>
    <xf numFmtId="0" fontId="1" fillId="0" borderId="62" xfId="0" applyFont="1" applyBorder="1"/>
    <xf numFmtId="164" fontId="1" fillId="0" borderId="63" xfId="0" applyNumberFormat="1" applyFont="1" applyBorder="1"/>
    <xf numFmtId="0" fontId="1" fillId="0" borderId="51" xfId="0" applyFont="1" applyBorder="1"/>
    <xf numFmtId="164" fontId="1" fillId="0" borderId="52" xfId="0" applyNumberFormat="1" applyFont="1" applyBorder="1"/>
    <xf numFmtId="0" fontId="4" fillId="0" borderId="60" xfId="0" applyFont="1" applyBorder="1"/>
    <xf numFmtId="0" fontId="1" fillId="0" borderId="64" xfId="0" applyFont="1" applyBorder="1"/>
    <xf numFmtId="0" fontId="1" fillId="0" borderId="65" xfId="0" applyFont="1" applyBorder="1"/>
    <xf numFmtId="164" fontId="1" fillId="0" borderId="65" xfId="0" applyNumberFormat="1" applyFont="1" applyBorder="1"/>
    <xf numFmtId="0" fontId="1" fillId="0" borderId="66" xfId="0" applyFont="1" applyBorder="1"/>
    <xf numFmtId="164" fontId="1" fillId="0" borderId="67" xfId="0" applyNumberFormat="1" applyFont="1" applyBorder="1"/>
    <xf numFmtId="0" fontId="1" fillId="5" borderId="20" xfId="0" applyFont="1" applyFill="1" applyBorder="1"/>
    <xf numFmtId="0" fontId="1" fillId="5" borderId="3" xfId="0" applyFont="1" applyFill="1" applyBorder="1"/>
    <xf numFmtId="0" fontId="1" fillId="0" borderId="68" xfId="0" applyFont="1" applyBorder="1"/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6" fillId="2" borderId="4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22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9288"/>
      <color rgb="FFE8C990"/>
      <color rgb="FFF0A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E6D8-D893-4A71-94F5-347C0E5CE719}">
  <sheetPr>
    <pageSetUpPr fitToPage="1"/>
  </sheetPr>
  <dimension ref="A1:P80"/>
  <sheetViews>
    <sheetView topLeftCell="A7" zoomScale="75" zoomScaleNormal="75" workbookViewId="0">
      <selection activeCell="L19" sqref="L19"/>
    </sheetView>
  </sheetViews>
  <sheetFormatPr defaultRowHeight="14.4" x14ac:dyDescent="0.3"/>
  <cols>
    <col min="1" max="1" width="25.44140625" bestFit="1" customWidth="1"/>
    <col min="2" max="2" width="20.5546875" bestFit="1" customWidth="1"/>
    <col min="3" max="3" width="4" customWidth="1"/>
    <col min="4" max="4" width="21.77734375" style="105" customWidth="1"/>
    <col min="5" max="5" width="21.33203125" customWidth="1"/>
    <col min="6" max="6" width="3.109375" bestFit="1" customWidth="1"/>
    <col min="7" max="7" width="46.44140625" bestFit="1" customWidth="1"/>
    <col min="8" max="8" width="21.44140625" customWidth="1"/>
    <col min="9" max="9" width="3.44140625" customWidth="1"/>
    <col min="16" max="16" width="9.109375" customWidth="1"/>
  </cols>
  <sheetData>
    <row r="1" spans="1:9" ht="43.5" customHeight="1" x14ac:dyDescent="0.3">
      <c r="A1" s="142" t="s">
        <v>0</v>
      </c>
      <c r="B1" s="143"/>
      <c r="C1" s="143"/>
      <c r="D1" s="143"/>
      <c r="E1" s="143"/>
      <c r="F1" s="143"/>
      <c r="G1" s="143"/>
      <c r="H1" s="143"/>
      <c r="I1" s="144"/>
    </row>
    <row r="2" spans="1:9" x14ac:dyDescent="0.3">
      <c r="A2" s="108"/>
      <c r="B2" s="68"/>
      <c r="C2" s="69"/>
      <c r="D2" s="88"/>
      <c r="E2" s="68"/>
      <c r="F2" s="69"/>
      <c r="G2" s="1" t="s">
        <v>1</v>
      </c>
      <c r="H2" s="145" t="s">
        <v>2</v>
      </c>
      <c r="I2" s="146"/>
    </row>
    <row r="3" spans="1:9" x14ac:dyDescent="0.3">
      <c r="A3" s="108" t="s">
        <v>3</v>
      </c>
      <c r="B3" s="70" t="s">
        <v>4</v>
      </c>
      <c r="C3" s="69"/>
      <c r="D3" s="88"/>
      <c r="E3" s="68"/>
      <c r="F3" s="69"/>
      <c r="G3" s="147" t="s">
        <v>109</v>
      </c>
      <c r="H3" s="148" t="s">
        <v>5</v>
      </c>
      <c r="I3" s="149"/>
    </row>
    <row r="4" spans="1:9" x14ac:dyDescent="0.3">
      <c r="A4" s="108" t="s">
        <v>6</v>
      </c>
      <c r="B4" s="71" t="s">
        <v>71</v>
      </c>
      <c r="C4" s="69"/>
      <c r="D4" s="88"/>
      <c r="E4" s="68"/>
      <c r="F4" s="69"/>
      <c r="G4" s="147"/>
      <c r="H4" s="148"/>
      <c r="I4" s="149"/>
    </row>
    <row r="5" spans="1:9" x14ac:dyDescent="0.3">
      <c r="A5" s="108" t="s">
        <v>7</v>
      </c>
      <c r="B5" s="70" t="s">
        <v>110</v>
      </c>
      <c r="C5" s="69"/>
      <c r="D5" s="88"/>
      <c r="E5" s="68"/>
      <c r="F5" s="69"/>
      <c r="G5" s="147"/>
      <c r="H5" s="148"/>
      <c r="I5" s="149"/>
    </row>
    <row r="6" spans="1:9" x14ac:dyDescent="0.3">
      <c r="A6" s="108"/>
      <c r="B6" s="72"/>
      <c r="C6" s="69"/>
      <c r="D6" s="88"/>
      <c r="E6" s="68"/>
      <c r="F6" s="69"/>
      <c r="G6" s="2"/>
      <c r="H6" s="150"/>
      <c r="I6" s="151"/>
    </row>
    <row r="7" spans="1:9" x14ac:dyDescent="0.3">
      <c r="A7" s="108"/>
      <c r="B7" s="72"/>
      <c r="C7" s="69"/>
      <c r="D7" s="88"/>
      <c r="E7" s="68"/>
      <c r="F7" s="69"/>
      <c r="G7" s="3" t="s">
        <v>8</v>
      </c>
      <c r="H7" s="152" t="s">
        <v>8</v>
      </c>
      <c r="I7" s="153"/>
    </row>
    <row r="8" spans="1:9" ht="15" thickBot="1" x14ac:dyDescent="0.35">
      <c r="A8" s="109"/>
      <c r="B8" s="4"/>
      <c r="C8" s="5"/>
      <c r="D8" s="89"/>
      <c r="E8" s="4"/>
      <c r="F8" s="5"/>
      <c r="G8" s="6"/>
      <c r="H8" s="154"/>
      <c r="I8" s="155"/>
    </row>
    <row r="9" spans="1:9" ht="21" thickBot="1" x14ac:dyDescent="0.35">
      <c r="A9" s="156" t="s">
        <v>9</v>
      </c>
      <c r="B9" s="157"/>
      <c r="C9" s="157"/>
      <c r="D9" s="157"/>
      <c r="E9" s="157"/>
      <c r="F9" s="157"/>
      <c r="G9" s="157"/>
      <c r="H9" s="157"/>
      <c r="I9" s="158"/>
    </row>
    <row r="10" spans="1:9" x14ac:dyDescent="0.3">
      <c r="A10" s="159" t="s">
        <v>10</v>
      </c>
      <c r="B10" s="160"/>
      <c r="C10" s="161"/>
      <c r="D10" s="162" t="s">
        <v>11</v>
      </c>
      <c r="E10" s="160"/>
      <c r="F10" s="161"/>
      <c r="G10" s="162" t="s">
        <v>12</v>
      </c>
      <c r="H10" s="160"/>
      <c r="I10" s="163"/>
    </row>
    <row r="11" spans="1:9" x14ac:dyDescent="0.3">
      <c r="A11" s="110" t="s">
        <v>13</v>
      </c>
      <c r="B11" s="139" t="s">
        <v>14</v>
      </c>
      <c r="C11" s="140"/>
      <c r="D11" s="90" t="s">
        <v>13</v>
      </c>
      <c r="E11" s="139" t="s">
        <v>14</v>
      </c>
      <c r="F11" s="140"/>
      <c r="G11" s="7" t="s">
        <v>13</v>
      </c>
      <c r="H11" s="139" t="s">
        <v>14</v>
      </c>
      <c r="I11" s="141"/>
    </row>
    <row r="12" spans="1:9" ht="18" x14ac:dyDescent="0.35">
      <c r="A12" s="111" t="s">
        <v>69</v>
      </c>
      <c r="B12" s="64">
        <v>200000</v>
      </c>
      <c r="C12" s="9"/>
      <c r="D12" s="91" t="s">
        <v>81</v>
      </c>
      <c r="E12" s="73">
        <v>200000</v>
      </c>
      <c r="F12" s="62"/>
      <c r="G12" s="65" t="s">
        <v>51</v>
      </c>
      <c r="H12" s="64">
        <v>350000</v>
      </c>
      <c r="I12" s="112"/>
    </row>
    <row r="13" spans="1:9" ht="18" x14ac:dyDescent="0.35">
      <c r="A13" s="111" t="s">
        <v>103</v>
      </c>
      <c r="B13" s="64">
        <v>300000</v>
      </c>
      <c r="C13" s="11"/>
      <c r="D13" s="91" t="s">
        <v>74</v>
      </c>
      <c r="E13" s="73">
        <v>150000</v>
      </c>
      <c r="F13" s="63"/>
      <c r="G13" s="107" t="s">
        <v>52</v>
      </c>
      <c r="H13" s="106">
        <v>400000</v>
      </c>
      <c r="I13" s="113"/>
    </row>
    <row r="14" spans="1:9" ht="18" x14ac:dyDescent="0.35">
      <c r="A14" s="111"/>
      <c r="B14" s="64"/>
      <c r="C14" s="11"/>
      <c r="D14" s="91" t="s">
        <v>70</v>
      </c>
      <c r="E14" s="73">
        <v>200000</v>
      </c>
      <c r="F14" s="63"/>
      <c r="G14" s="65" t="s">
        <v>85</v>
      </c>
      <c r="H14" s="64">
        <v>800000</v>
      </c>
      <c r="I14" s="113"/>
    </row>
    <row r="15" spans="1:9" ht="18" x14ac:dyDescent="0.35">
      <c r="A15" s="114"/>
      <c r="B15" s="59"/>
      <c r="C15" s="11"/>
      <c r="D15" s="91" t="s">
        <v>79</v>
      </c>
      <c r="E15" s="73">
        <v>150000</v>
      </c>
      <c r="F15" s="63"/>
      <c r="G15" s="65" t="s">
        <v>67</v>
      </c>
      <c r="H15" s="64">
        <v>300000</v>
      </c>
      <c r="I15" s="113"/>
    </row>
    <row r="16" spans="1:9" ht="18" x14ac:dyDescent="0.35">
      <c r="A16" s="115"/>
      <c r="B16" s="8"/>
      <c r="C16" s="11"/>
      <c r="D16" s="91" t="s">
        <v>66</v>
      </c>
      <c r="E16" s="73">
        <v>300000</v>
      </c>
      <c r="F16" s="63"/>
      <c r="G16" s="65" t="s">
        <v>107</v>
      </c>
      <c r="H16" s="64">
        <v>123405</v>
      </c>
      <c r="I16" s="113"/>
    </row>
    <row r="17" spans="1:16" ht="18" x14ac:dyDescent="0.35">
      <c r="A17" s="114"/>
      <c r="B17" s="8"/>
      <c r="C17" s="11"/>
      <c r="D17" s="91" t="s">
        <v>98</v>
      </c>
      <c r="E17" s="73">
        <v>500000</v>
      </c>
      <c r="F17" s="63"/>
      <c r="G17" s="65" t="s">
        <v>108</v>
      </c>
      <c r="H17" s="64">
        <v>3357737</v>
      </c>
      <c r="I17" s="113"/>
    </row>
    <row r="18" spans="1:16" ht="18" x14ac:dyDescent="0.35">
      <c r="A18" s="115"/>
      <c r="B18" s="8"/>
      <c r="C18" s="11"/>
      <c r="D18" s="91"/>
      <c r="E18" s="73"/>
      <c r="F18" s="63"/>
      <c r="G18" s="65" t="s">
        <v>87</v>
      </c>
      <c r="H18" s="64">
        <v>35000</v>
      </c>
      <c r="I18" s="113"/>
    </row>
    <row r="19" spans="1:16" ht="18" x14ac:dyDescent="0.35">
      <c r="A19" s="115"/>
      <c r="B19" s="8"/>
      <c r="C19" s="11"/>
      <c r="D19" s="91"/>
      <c r="E19" s="73"/>
      <c r="F19" s="63"/>
      <c r="G19" s="65" t="s">
        <v>72</v>
      </c>
      <c r="H19" s="64">
        <v>50000</v>
      </c>
      <c r="I19" s="113"/>
    </row>
    <row r="20" spans="1:16" ht="18" x14ac:dyDescent="0.35">
      <c r="A20" s="115"/>
      <c r="B20" s="8"/>
      <c r="C20" s="11"/>
      <c r="D20" s="91"/>
      <c r="E20" s="73"/>
      <c r="F20" s="63"/>
      <c r="G20" s="65" t="s">
        <v>80</v>
      </c>
      <c r="H20" s="64">
        <v>500000</v>
      </c>
      <c r="I20" s="113"/>
    </row>
    <row r="21" spans="1:16" ht="18" x14ac:dyDescent="0.35">
      <c r="A21" s="115"/>
      <c r="B21" s="8"/>
      <c r="C21" s="11"/>
      <c r="D21" s="91"/>
      <c r="E21" s="73"/>
      <c r="F21" s="63"/>
      <c r="G21" s="65" t="s">
        <v>86</v>
      </c>
      <c r="H21" s="64">
        <v>300000</v>
      </c>
      <c r="I21" s="113"/>
    </row>
    <row r="22" spans="1:16" ht="18" x14ac:dyDescent="0.35">
      <c r="A22" s="115"/>
      <c r="B22" s="8"/>
      <c r="C22" s="11"/>
      <c r="D22" s="91"/>
      <c r="E22" s="73"/>
      <c r="F22" s="63"/>
      <c r="G22" s="65" t="s">
        <v>89</v>
      </c>
      <c r="H22" s="64">
        <v>1500000</v>
      </c>
      <c r="I22" s="113"/>
    </row>
    <row r="23" spans="1:16" ht="18" x14ac:dyDescent="0.35">
      <c r="A23" s="115"/>
      <c r="B23" s="8"/>
      <c r="C23" s="11"/>
      <c r="D23" s="91"/>
      <c r="E23" s="73"/>
      <c r="F23" s="63"/>
      <c r="G23" s="65" t="s">
        <v>90</v>
      </c>
      <c r="H23" s="64">
        <v>100000</v>
      </c>
      <c r="I23" s="113"/>
    </row>
    <row r="24" spans="1:16" ht="18" x14ac:dyDescent="0.35">
      <c r="A24" s="115"/>
      <c r="B24" s="8"/>
      <c r="C24" s="11"/>
      <c r="D24" s="91"/>
      <c r="E24" s="73"/>
      <c r="F24" s="63"/>
      <c r="G24" s="65" t="s">
        <v>91</v>
      </c>
      <c r="H24" s="64">
        <v>94738</v>
      </c>
      <c r="I24" s="113"/>
    </row>
    <row r="25" spans="1:16" ht="18" x14ac:dyDescent="0.35">
      <c r="A25" s="115"/>
      <c r="B25" s="8"/>
      <c r="C25" s="11"/>
      <c r="D25" s="91"/>
      <c r="E25" s="73"/>
      <c r="F25" s="63"/>
      <c r="G25" s="65" t="s">
        <v>92</v>
      </c>
      <c r="H25" s="64">
        <v>50000</v>
      </c>
      <c r="I25" s="113"/>
    </row>
    <row r="26" spans="1:16" ht="18" x14ac:dyDescent="0.35">
      <c r="A26" s="115"/>
      <c r="B26" s="8"/>
      <c r="C26" s="11"/>
      <c r="D26" s="91"/>
      <c r="E26" s="73"/>
      <c r="F26" s="63"/>
      <c r="G26" s="65" t="s">
        <v>93</v>
      </c>
      <c r="H26" s="64">
        <v>21960</v>
      </c>
      <c r="I26" s="113"/>
    </row>
    <row r="27" spans="1:16" ht="18" x14ac:dyDescent="0.35">
      <c r="A27" s="115"/>
      <c r="B27" s="8"/>
      <c r="C27" s="11"/>
      <c r="D27" s="91"/>
      <c r="E27" s="73"/>
      <c r="F27" s="63"/>
      <c r="G27" s="65" t="s">
        <v>106</v>
      </c>
      <c r="H27" s="64">
        <v>717500</v>
      </c>
      <c r="I27" s="113"/>
    </row>
    <row r="28" spans="1:16" ht="18" x14ac:dyDescent="0.35">
      <c r="A28" s="115"/>
      <c r="B28" s="8"/>
      <c r="C28" s="11"/>
      <c r="D28" s="91"/>
      <c r="E28" s="73"/>
      <c r="F28" s="63"/>
      <c r="G28" s="65" t="s">
        <v>94</v>
      </c>
      <c r="H28" s="64">
        <v>10000</v>
      </c>
      <c r="I28" s="113"/>
    </row>
    <row r="29" spans="1:16" ht="18" x14ac:dyDescent="0.35">
      <c r="A29" s="115"/>
      <c r="B29" s="8"/>
      <c r="C29" s="11"/>
      <c r="D29" s="92"/>
      <c r="E29" s="74"/>
      <c r="F29" s="11"/>
      <c r="G29" s="65" t="s">
        <v>78</v>
      </c>
      <c r="H29" s="64">
        <v>60000</v>
      </c>
      <c r="I29" s="116"/>
    </row>
    <row r="30" spans="1:16" ht="18" x14ac:dyDescent="0.35">
      <c r="A30" s="115"/>
      <c r="B30" s="8"/>
      <c r="C30" s="11"/>
      <c r="D30" s="92"/>
      <c r="E30" s="74"/>
      <c r="F30" s="11"/>
      <c r="G30" s="65" t="s">
        <v>97</v>
      </c>
      <c r="H30" s="64">
        <v>500000</v>
      </c>
      <c r="I30" s="116"/>
      <c r="P30" t="s">
        <v>25</v>
      </c>
    </row>
    <row r="31" spans="1:16" ht="18" x14ac:dyDescent="0.35">
      <c r="A31" s="115"/>
      <c r="B31" s="8"/>
      <c r="C31" s="11"/>
      <c r="D31" s="92"/>
      <c r="E31" s="74"/>
      <c r="F31" s="11"/>
      <c r="G31" s="65" t="s">
        <v>99</v>
      </c>
      <c r="H31" s="64">
        <v>700000</v>
      </c>
      <c r="I31" s="116"/>
    </row>
    <row r="32" spans="1:16" ht="18" x14ac:dyDescent="0.35">
      <c r="A32" s="115"/>
      <c r="B32" s="8"/>
      <c r="C32" s="11"/>
      <c r="D32" s="92"/>
      <c r="E32" s="74"/>
      <c r="F32" s="11"/>
      <c r="G32" s="67" t="s">
        <v>100</v>
      </c>
      <c r="H32" s="64">
        <v>55000</v>
      </c>
      <c r="I32" s="116"/>
    </row>
    <row r="33" spans="1:9" ht="18" x14ac:dyDescent="0.35">
      <c r="A33" s="115"/>
      <c r="B33" s="8"/>
      <c r="C33" s="11"/>
      <c r="D33" s="92"/>
      <c r="E33" s="74"/>
      <c r="F33" s="11"/>
      <c r="G33" s="65" t="s">
        <v>101</v>
      </c>
      <c r="H33" s="64">
        <v>21500</v>
      </c>
      <c r="I33" s="116"/>
    </row>
    <row r="34" spans="1:9" ht="18" x14ac:dyDescent="0.35">
      <c r="A34" s="115"/>
      <c r="B34" s="8"/>
      <c r="C34" s="11"/>
      <c r="D34" s="92"/>
      <c r="E34" s="74"/>
      <c r="F34" s="11"/>
      <c r="G34" s="65" t="s">
        <v>104</v>
      </c>
      <c r="H34" s="64">
        <v>54000</v>
      </c>
      <c r="I34" s="116"/>
    </row>
    <row r="35" spans="1:9" ht="18" x14ac:dyDescent="0.35">
      <c r="A35" s="115"/>
      <c r="B35" s="8"/>
      <c r="C35" s="11"/>
      <c r="D35" s="92"/>
      <c r="E35" s="74"/>
      <c r="F35" s="11"/>
      <c r="G35" s="65" t="s">
        <v>105</v>
      </c>
      <c r="H35" s="64">
        <v>1000000</v>
      </c>
      <c r="I35" s="116"/>
    </row>
    <row r="36" spans="1:9" x14ac:dyDescent="0.3">
      <c r="A36" s="115"/>
      <c r="B36" s="8"/>
      <c r="C36" s="11"/>
      <c r="D36" s="92"/>
      <c r="E36" s="74"/>
      <c r="F36" s="11"/>
      <c r="G36" s="10"/>
      <c r="H36" s="8"/>
      <c r="I36" s="116"/>
    </row>
    <row r="37" spans="1:9" x14ac:dyDescent="0.3">
      <c r="A37" s="117" t="s">
        <v>15</v>
      </c>
      <c r="B37" s="8">
        <f>SUM(B12:B36)</f>
        <v>500000</v>
      </c>
      <c r="C37" s="11"/>
      <c r="D37" s="93" t="s">
        <v>15</v>
      </c>
      <c r="E37" s="74">
        <f>SUM(E12:E36)</f>
        <v>1500000</v>
      </c>
      <c r="F37" s="11"/>
      <c r="G37" s="12" t="s">
        <v>15</v>
      </c>
      <c r="H37" s="8">
        <f>SUM(H12:H36)</f>
        <v>11100840</v>
      </c>
      <c r="I37" s="116"/>
    </row>
    <row r="38" spans="1:9" ht="15" thickBot="1" x14ac:dyDescent="0.35">
      <c r="A38" s="118"/>
      <c r="B38" s="13"/>
      <c r="C38" s="14"/>
      <c r="D38" s="94"/>
      <c r="E38" s="75"/>
      <c r="F38" s="14"/>
      <c r="G38" s="13"/>
      <c r="H38" s="13"/>
      <c r="I38" s="119"/>
    </row>
    <row r="39" spans="1:9" ht="21" thickBot="1" x14ac:dyDescent="0.35">
      <c r="A39" s="164" t="s">
        <v>16</v>
      </c>
      <c r="B39" s="165"/>
      <c r="C39" s="165"/>
      <c r="D39" s="165"/>
      <c r="E39" s="165"/>
      <c r="F39" s="165"/>
      <c r="G39" s="165"/>
      <c r="H39" s="165"/>
      <c r="I39" s="166"/>
    </row>
    <row r="40" spans="1:9" x14ac:dyDescent="0.3">
      <c r="A40" s="159" t="s">
        <v>17</v>
      </c>
      <c r="B40" s="160"/>
      <c r="C40" s="161"/>
      <c r="D40" s="162" t="s">
        <v>18</v>
      </c>
      <c r="E40" s="160"/>
      <c r="F40" s="160"/>
      <c r="G40" s="160"/>
      <c r="H40" s="160"/>
      <c r="I40" s="163"/>
    </row>
    <row r="41" spans="1:9" x14ac:dyDescent="0.3">
      <c r="A41" s="110" t="s">
        <v>13</v>
      </c>
      <c r="B41" s="139" t="s">
        <v>19</v>
      </c>
      <c r="C41" s="140"/>
      <c r="D41" s="90" t="s">
        <v>13</v>
      </c>
      <c r="E41" s="139" t="s">
        <v>19</v>
      </c>
      <c r="F41" s="140"/>
      <c r="G41" s="7" t="s">
        <v>13</v>
      </c>
      <c r="H41" s="139" t="s">
        <v>19</v>
      </c>
      <c r="I41" s="141"/>
    </row>
    <row r="42" spans="1:9" x14ac:dyDescent="0.3">
      <c r="A42" s="120" t="s">
        <v>20</v>
      </c>
      <c r="B42" s="15"/>
      <c r="C42" s="9"/>
      <c r="D42" s="95" t="s">
        <v>21</v>
      </c>
      <c r="E42" s="76"/>
      <c r="F42" s="9"/>
      <c r="G42" s="16" t="s">
        <v>22</v>
      </c>
      <c r="H42" s="17"/>
      <c r="I42" s="121"/>
    </row>
    <row r="43" spans="1:9" x14ac:dyDescent="0.3">
      <c r="A43" s="115" t="s">
        <v>73</v>
      </c>
      <c r="B43" s="18">
        <v>1</v>
      </c>
      <c r="C43" s="9"/>
      <c r="D43" s="92" t="s">
        <v>77</v>
      </c>
      <c r="E43" s="25">
        <v>2</v>
      </c>
      <c r="F43" s="9"/>
      <c r="G43" s="21"/>
      <c r="H43" s="17"/>
      <c r="I43" s="121"/>
    </row>
    <row r="44" spans="1:9" x14ac:dyDescent="0.3">
      <c r="A44" s="115" t="s">
        <v>95</v>
      </c>
      <c r="B44" s="20">
        <v>1</v>
      </c>
      <c r="C44" s="11"/>
      <c r="D44" s="92" t="s">
        <v>60</v>
      </c>
      <c r="E44" s="25">
        <v>2</v>
      </c>
      <c r="F44" s="11"/>
      <c r="G44" s="21"/>
      <c r="H44" s="17"/>
      <c r="I44" s="116"/>
    </row>
    <row r="45" spans="1:9" x14ac:dyDescent="0.3">
      <c r="A45" s="114"/>
      <c r="B45" s="17" t="s">
        <v>96</v>
      </c>
      <c r="C45" s="11"/>
      <c r="D45" s="92" t="s">
        <v>64</v>
      </c>
      <c r="E45" s="25">
        <v>1</v>
      </c>
      <c r="F45" s="11"/>
      <c r="G45" s="21"/>
      <c r="H45" s="17"/>
      <c r="I45" s="116"/>
    </row>
    <row r="46" spans="1:9" x14ac:dyDescent="0.3">
      <c r="A46" s="114"/>
      <c r="B46" s="20"/>
      <c r="C46" s="11"/>
      <c r="D46" s="92" t="s">
        <v>61</v>
      </c>
      <c r="E46" s="25">
        <v>2</v>
      </c>
      <c r="F46" s="11"/>
      <c r="G46" s="21"/>
      <c r="H46" s="17"/>
      <c r="I46" s="116"/>
    </row>
    <row r="47" spans="1:9" x14ac:dyDescent="0.3">
      <c r="A47" s="115"/>
      <c r="B47" s="17"/>
      <c r="C47" s="11"/>
      <c r="D47" s="92" t="s">
        <v>75</v>
      </c>
      <c r="E47" s="25">
        <v>1</v>
      </c>
      <c r="F47" s="11"/>
      <c r="G47" s="21"/>
      <c r="H47" s="17"/>
      <c r="I47" s="116"/>
    </row>
    <row r="48" spans="1:9" x14ac:dyDescent="0.3">
      <c r="A48" s="115"/>
      <c r="B48" s="17"/>
      <c r="C48" s="11"/>
      <c r="D48" s="92" t="s">
        <v>62</v>
      </c>
      <c r="E48" s="25">
        <v>2</v>
      </c>
      <c r="F48" s="11"/>
      <c r="G48" s="19"/>
      <c r="H48" s="17"/>
      <c r="I48" s="116"/>
    </row>
    <row r="49" spans="1:9" x14ac:dyDescent="0.3">
      <c r="A49" s="115"/>
      <c r="B49" s="17"/>
      <c r="C49" s="11"/>
      <c r="D49" s="96" t="s">
        <v>63</v>
      </c>
      <c r="E49" s="25">
        <v>1</v>
      </c>
      <c r="F49" s="11"/>
      <c r="G49" s="19"/>
      <c r="H49" s="17"/>
      <c r="I49" s="116"/>
    </row>
    <row r="50" spans="1:9" x14ac:dyDescent="0.3">
      <c r="A50" s="115"/>
      <c r="B50" s="17"/>
      <c r="C50" s="11"/>
      <c r="D50" s="97" t="s">
        <v>88</v>
      </c>
      <c r="E50" s="77">
        <v>2</v>
      </c>
      <c r="F50" s="11"/>
      <c r="G50" s="19"/>
      <c r="H50" s="17"/>
      <c r="I50" s="116"/>
    </row>
    <row r="51" spans="1:9" x14ac:dyDescent="0.3">
      <c r="A51" s="115"/>
      <c r="B51" s="17"/>
      <c r="C51" s="11"/>
      <c r="D51" s="98" t="s">
        <v>76</v>
      </c>
      <c r="E51" s="77">
        <v>1</v>
      </c>
      <c r="F51" s="11"/>
      <c r="G51" s="19"/>
      <c r="H51" s="17"/>
      <c r="I51" s="116"/>
    </row>
    <row r="52" spans="1:9" x14ac:dyDescent="0.3">
      <c r="A52" s="115"/>
      <c r="B52" s="17"/>
      <c r="C52" s="23"/>
      <c r="D52" s="24"/>
      <c r="E52" s="25"/>
      <c r="F52" s="11"/>
      <c r="G52" s="19"/>
      <c r="H52" s="17"/>
      <c r="I52" s="116"/>
    </row>
    <row r="53" spans="1:9" x14ac:dyDescent="0.3">
      <c r="A53" s="115"/>
      <c r="B53" s="17"/>
      <c r="C53" s="11"/>
      <c r="D53" s="99"/>
      <c r="E53" s="77"/>
      <c r="F53" s="11"/>
      <c r="G53" s="19"/>
      <c r="H53" s="17"/>
      <c r="I53" s="116"/>
    </row>
    <row r="54" spans="1:9" x14ac:dyDescent="0.3">
      <c r="A54" s="115"/>
      <c r="B54" s="17"/>
      <c r="C54" s="11"/>
      <c r="D54" s="100"/>
      <c r="E54" s="77"/>
      <c r="F54" s="11"/>
      <c r="G54" s="19"/>
      <c r="H54" s="17"/>
      <c r="I54" s="116"/>
    </row>
    <row r="55" spans="1:9" x14ac:dyDescent="0.3">
      <c r="A55" s="115"/>
      <c r="B55" s="17"/>
      <c r="C55" s="11"/>
      <c r="D55" s="101"/>
      <c r="E55" s="30"/>
      <c r="F55" s="11"/>
      <c r="G55" s="26"/>
      <c r="H55" s="17"/>
      <c r="I55" s="116"/>
    </row>
    <row r="56" spans="1:9" x14ac:dyDescent="0.3">
      <c r="A56" s="118"/>
      <c r="B56" s="27"/>
      <c r="C56" s="14"/>
      <c r="D56" s="102"/>
      <c r="E56" s="30"/>
      <c r="F56" s="11"/>
      <c r="G56" s="28"/>
      <c r="H56" s="29"/>
      <c r="I56" s="116"/>
    </row>
    <row r="57" spans="1:9" x14ac:dyDescent="0.3">
      <c r="A57" s="173" t="s">
        <v>24</v>
      </c>
      <c r="B57" s="171"/>
      <c r="C57" s="174"/>
      <c r="D57" s="54" t="s">
        <v>23</v>
      </c>
      <c r="E57" s="30"/>
      <c r="F57" s="11"/>
      <c r="G57" s="31"/>
      <c r="H57" s="29"/>
      <c r="I57" s="116"/>
    </row>
    <row r="58" spans="1:9" x14ac:dyDescent="0.3">
      <c r="A58" s="122" t="s">
        <v>39</v>
      </c>
      <c r="B58" s="29"/>
      <c r="C58" s="32"/>
      <c r="D58" s="66" t="s">
        <v>41</v>
      </c>
      <c r="E58" s="30"/>
      <c r="F58" s="23"/>
      <c r="G58" s="33" t="s">
        <v>23</v>
      </c>
      <c r="H58" s="34"/>
      <c r="I58" s="116"/>
    </row>
    <row r="59" spans="1:9" x14ac:dyDescent="0.3">
      <c r="A59" s="123"/>
      <c r="B59" s="29"/>
      <c r="C59" s="11"/>
      <c r="D59" s="103" t="s">
        <v>42</v>
      </c>
      <c r="E59" s="30"/>
      <c r="F59" s="35"/>
      <c r="G59" s="15" t="s">
        <v>56</v>
      </c>
      <c r="H59" s="36">
        <v>10</v>
      </c>
      <c r="I59" s="116"/>
    </row>
    <row r="60" spans="1:9" x14ac:dyDescent="0.3">
      <c r="A60" s="124"/>
      <c r="B60" s="29"/>
      <c r="C60" s="11"/>
      <c r="D60" s="92" t="s">
        <v>68</v>
      </c>
      <c r="E60" s="30"/>
      <c r="F60" s="35"/>
      <c r="G60" s="10" t="s">
        <v>55</v>
      </c>
      <c r="H60" s="36">
        <v>5</v>
      </c>
      <c r="I60" s="116"/>
    </row>
    <row r="61" spans="1:9" x14ac:dyDescent="0.3">
      <c r="A61" s="125"/>
      <c r="B61" s="29"/>
      <c r="C61" s="11"/>
      <c r="D61" s="92" t="s">
        <v>43</v>
      </c>
      <c r="E61" s="30"/>
      <c r="F61" s="35"/>
      <c r="G61" s="10" t="s">
        <v>59</v>
      </c>
      <c r="H61" s="36">
        <v>10</v>
      </c>
      <c r="I61" s="116"/>
    </row>
    <row r="62" spans="1:9" x14ac:dyDescent="0.3">
      <c r="A62" s="122" t="s">
        <v>40</v>
      </c>
      <c r="B62" s="29"/>
      <c r="C62" s="11"/>
      <c r="D62" s="92" t="s">
        <v>65</v>
      </c>
      <c r="E62" s="30"/>
      <c r="F62" s="35"/>
      <c r="G62" s="10" t="s">
        <v>58</v>
      </c>
      <c r="H62" s="36">
        <v>3</v>
      </c>
      <c r="I62" s="116"/>
    </row>
    <row r="63" spans="1:9" x14ac:dyDescent="0.3">
      <c r="A63" s="123"/>
      <c r="B63" s="29"/>
      <c r="C63" s="11"/>
      <c r="D63" s="92" t="s">
        <v>53</v>
      </c>
      <c r="E63" s="78"/>
      <c r="F63" s="35"/>
      <c r="G63" s="13" t="s">
        <v>57</v>
      </c>
      <c r="H63" s="36">
        <v>3</v>
      </c>
      <c r="I63" s="116"/>
    </row>
    <row r="64" spans="1:9" x14ac:dyDescent="0.3">
      <c r="A64" s="123"/>
      <c r="B64" s="29"/>
      <c r="C64" s="11"/>
      <c r="D64" s="92" t="s">
        <v>50</v>
      </c>
      <c r="E64" s="78"/>
      <c r="F64" s="61"/>
      <c r="G64" s="136" t="s">
        <v>102</v>
      </c>
      <c r="H64" s="38">
        <v>2</v>
      </c>
      <c r="I64" s="116"/>
    </row>
    <row r="65" spans="1:9" x14ac:dyDescent="0.3">
      <c r="A65" s="115"/>
      <c r="B65" s="17"/>
      <c r="C65" s="11"/>
      <c r="D65" s="92" t="s">
        <v>45</v>
      </c>
      <c r="E65" s="79"/>
      <c r="F65" s="37"/>
      <c r="G65" s="22"/>
      <c r="H65" s="38"/>
      <c r="I65" s="116"/>
    </row>
    <row r="66" spans="1:9" x14ac:dyDescent="0.3">
      <c r="A66" s="115"/>
      <c r="B66" s="17"/>
      <c r="C66" s="11"/>
      <c r="D66" s="92" t="s">
        <v>48</v>
      </c>
      <c r="E66" s="79"/>
      <c r="F66" s="37"/>
      <c r="G66" s="39" t="s">
        <v>38</v>
      </c>
      <c r="H66" s="38"/>
      <c r="I66" s="116"/>
    </row>
    <row r="67" spans="1:9" x14ac:dyDescent="0.3">
      <c r="A67" s="118"/>
      <c r="B67" s="13"/>
      <c r="C67" s="14"/>
      <c r="D67" s="92" t="s">
        <v>82</v>
      </c>
      <c r="E67" s="79"/>
      <c r="F67" s="40"/>
      <c r="G67" s="41"/>
      <c r="H67" s="38"/>
      <c r="I67" s="119"/>
    </row>
    <row r="68" spans="1:9" x14ac:dyDescent="0.3">
      <c r="A68" s="118"/>
      <c r="B68" s="13"/>
      <c r="C68" s="14"/>
      <c r="D68" s="92" t="s">
        <v>44</v>
      </c>
      <c r="E68" s="79"/>
      <c r="F68" s="40"/>
      <c r="G68" s="60"/>
      <c r="H68" s="38"/>
      <c r="I68" s="119"/>
    </row>
    <row r="69" spans="1:9" x14ac:dyDescent="0.3">
      <c r="A69" s="118"/>
      <c r="B69" s="13"/>
      <c r="C69" s="14"/>
      <c r="D69" s="92" t="s">
        <v>49</v>
      </c>
      <c r="E69" s="80"/>
      <c r="F69" s="40"/>
      <c r="G69" s="24"/>
      <c r="H69" s="38"/>
      <c r="I69" s="119"/>
    </row>
    <row r="70" spans="1:9" x14ac:dyDescent="0.3">
      <c r="A70" s="118"/>
      <c r="B70" s="31" t="s">
        <v>25</v>
      </c>
      <c r="C70" s="14"/>
      <c r="D70" s="92" t="s">
        <v>47</v>
      </c>
      <c r="E70" s="81"/>
      <c r="F70" s="40"/>
      <c r="G70" s="41"/>
      <c r="H70" s="38"/>
      <c r="I70" s="119"/>
    </row>
    <row r="71" spans="1:9" x14ac:dyDescent="0.3">
      <c r="A71" s="118"/>
      <c r="B71" s="13"/>
      <c r="C71" s="14"/>
      <c r="D71" s="92" t="s">
        <v>46</v>
      </c>
      <c r="E71" s="77"/>
      <c r="F71" s="40"/>
      <c r="G71" s="55" t="s">
        <v>22</v>
      </c>
      <c r="H71" s="42"/>
      <c r="I71" s="119"/>
    </row>
    <row r="72" spans="1:9" ht="15.6" x14ac:dyDescent="0.3">
      <c r="A72" s="118"/>
      <c r="B72" s="13"/>
      <c r="C72" s="14"/>
      <c r="D72" s="91" t="s">
        <v>54</v>
      </c>
      <c r="E72" s="82"/>
      <c r="F72" s="43"/>
      <c r="G72" s="56"/>
      <c r="H72" s="57"/>
      <c r="I72" s="119"/>
    </row>
    <row r="73" spans="1:9" ht="15.6" x14ac:dyDescent="0.3">
      <c r="A73" s="118"/>
      <c r="B73" s="13"/>
      <c r="C73" s="14"/>
      <c r="D73" s="91" t="s">
        <v>83</v>
      </c>
      <c r="E73" s="83"/>
      <c r="F73" s="43"/>
      <c r="G73" s="58"/>
      <c r="H73" s="57"/>
      <c r="I73" s="119"/>
    </row>
    <row r="74" spans="1:9" ht="16.2" thickBot="1" x14ac:dyDescent="0.35">
      <c r="A74" s="126"/>
      <c r="B74" s="44"/>
      <c r="C74" s="45"/>
      <c r="D74" s="91" t="s">
        <v>84</v>
      </c>
      <c r="E74" s="77"/>
      <c r="F74" s="46"/>
      <c r="G74" s="47"/>
      <c r="H74" s="48"/>
      <c r="I74" s="127"/>
    </row>
    <row r="75" spans="1:9" x14ac:dyDescent="0.3">
      <c r="A75" s="128"/>
      <c r="B75" s="49"/>
      <c r="C75" s="50"/>
      <c r="D75" s="104"/>
      <c r="E75" s="49"/>
      <c r="F75" s="50"/>
      <c r="G75" s="51"/>
      <c r="H75" s="49"/>
      <c r="I75" s="129"/>
    </row>
    <row r="76" spans="1:9" ht="18" x14ac:dyDescent="0.3">
      <c r="A76" s="130" t="s">
        <v>26</v>
      </c>
      <c r="B76" s="175">
        <f>B37+E37+H37</f>
        <v>13100840</v>
      </c>
      <c r="C76" s="176"/>
      <c r="D76" s="177"/>
      <c r="E76" s="84"/>
      <c r="F76" s="52" t="s">
        <v>27</v>
      </c>
      <c r="G76" s="170" t="s">
        <v>28</v>
      </c>
      <c r="H76" s="171"/>
      <c r="I76" s="172"/>
    </row>
    <row r="77" spans="1:9" ht="18" x14ac:dyDescent="0.3">
      <c r="A77" s="130" t="s">
        <v>29</v>
      </c>
      <c r="B77" s="167"/>
      <c r="C77" s="168"/>
      <c r="D77" s="169"/>
      <c r="E77" s="85"/>
      <c r="F77" s="52" t="s">
        <v>30</v>
      </c>
      <c r="G77" s="170" t="s">
        <v>31</v>
      </c>
      <c r="H77" s="171"/>
      <c r="I77" s="172"/>
    </row>
    <row r="78" spans="1:9" ht="18" x14ac:dyDescent="0.3">
      <c r="A78" s="130" t="s">
        <v>32</v>
      </c>
      <c r="B78" s="167"/>
      <c r="C78" s="168"/>
      <c r="D78" s="169"/>
      <c r="E78" s="86"/>
      <c r="F78" s="52" t="s">
        <v>33</v>
      </c>
      <c r="G78" s="170" t="s">
        <v>34</v>
      </c>
      <c r="H78" s="171"/>
      <c r="I78" s="172"/>
    </row>
    <row r="79" spans="1:9" ht="18" x14ac:dyDescent="0.3">
      <c r="A79" s="130" t="s">
        <v>35</v>
      </c>
      <c r="B79" s="167"/>
      <c r="C79" s="168"/>
      <c r="D79" s="169"/>
      <c r="E79" s="87"/>
      <c r="F79" s="53" t="s">
        <v>36</v>
      </c>
      <c r="G79" s="170" t="s">
        <v>37</v>
      </c>
      <c r="H79" s="171"/>
      <c r="I79" s="172"/>
    </row>
    <row r="80" spans="1:9" ht="15" thickBot="1" x14ac:dyDescent="0.35">
      <c r="A80" s="131"/>
      <c r="B80" s="132"/>
      <c r="C80" s="133"/>
      <c r="D80" s="134"/>
      <c r="E80" s="132"/>
      <c r="F80" s="133"/>
      <c r="G80" s="132"/>
      <c r="H80" s="132"/>
      <c r="I80" s="135"/>
    </row>
  </sheetData>
  <mergeCells count="29">
    <mergeCell ref="B79:D79"/>
    <mergeCell ref="G79:I79"/>
    <mergeCell ref="A57:C57"/>
    <mergeCell ref="B76:D76"/>
    <mergeCell ref="G76:I76"/>
    <mergeCell ref="B77:D77"/>
    <mergeCell ref="G77:I77"/>
    <mergeCell ref="B78:D78"/>
    <mergeCell ref="G78:I78"/>
    <mergeCell ref="A39:I39"/>
    <mergeCell ref="A40:C40"/>
    <mergeCell ref="D40:I40"/>
    <mergeCell ref="B41:C41"/>
    <mergeCell ref="E41:F41"/>
    <mergeCell ref="H41:I41"/>
    <mergeCell ref="B11:C11"/>
    <mergeCell ref="E11:F11"/>
    <mergeCell ref="H11:I11"/>
    <mergeCell ref="A1:I1"/>
    <mergeCell ref="H2:I2"/>
    <mergeCell ref="G3:G5"/>
    <mergeCell ref="H3:I5"/>
    <mergeCell ref="H6:I6"/>
    <mergeCell ref="H7:I7"/>
    <mergeCell ref="H8:I8"/>
    <mergeCell ref="A9:I9"/>
    <mergeCell ref="A10:C10"/>
    <mergeCell ref="D10:F10"/>
    <mergeCell ref="G10:I10"/>
  </mergeCells>
  <pageMargins left="0.23622047244094488" right="0" top="0.74803149606299213" bottom="0" header="0.31496062992125984" footer="0.31496062992125984"/>
  <pageSetup paperSize="9" scale="60" fitToWidth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4FBB-F695-4ABB-B02E-AFB3E73C67F4}">
  <sheetPr>
    <pageSetUpPr fitToPage="1"/>
  </sheetPr>
  <dimension ref="A1:I80"/>
  <sheetViews>
    <sheetView zoomScale="66" zoomScaleNormal="100" workbookViewId="0">
      <selection activeCell="G28" sqref="G28"/>
    </sheetView>
  </sheetViews>
  <sheetFormatPr defaultRowHeight="14.4" x14ac:dyDescent="0.3"/>
  <cols>
    <col min="1" max="1" width="25.44140625" bestFit="1" customWidth="1"/>
    <col min="2" max="2" width="20.5546875" bestFit="1" customWidth="1"/>
    <col min="3" max="3" width="4.21875" customWidth="1"/>
    <col min="4" max="4" width="21.33203125" customWidth="1"/>
    <col min="5" max="5" width="20.33203125" customWidth="1"/>
    <col min="6" max="6" width="4.88671875" customWidth="1"/>
    <col min="7" max="7" width="40.21875" bestFit="1" customWidth="1"/>
    <col min="8" max="8" width="20.21875" customWidth="1"/>
    <col min="9" max="9" width="4.33203125" customWidth="1"/>
    <col min="10" max="10" width="8.77734375" customWidth="1"/>
    <col min="15" max="15" width="5.77734375" customWidth="1"/>
  </cols>
  <sheetData>
    <row r="1" spans="1:9" ht="34.799999999999997" x14ac:dyDescent="0.3">
      <c r="A1" s="142" t="s">
        <v>0</v>
      </c>
      <c r="B1" s="143"/>
      <c r="C1" s="143"/>
      <c r="D1" s="143"/>
      <c r="E1" s="143"/>
      <c r="F1" s="143"/>
      <c r="G1" s="143"/>
      <c r="H1" s="143"/>
      <c r="I1" s="144"/>
    </row>
    <row r="2" spans="1:9" x14ac:dyDescent="0.3">
      <c r="A2" s="108"/>
      <c r="B2" s="68"/>
      <c r="C2" s="69"/>
      <c r="D2" s="88"/>
      <c r="E2" s="68"/>
      <c r="F2" s="69"/>
      <c r="G2" s="1" t="s">
        <v>1</v>
      </c>
      <c r="H2" s="145" t="s">
        <v>2</v>
      </c>
      <c r="I2" s="146"/>
    </row>
    <row r="3" spans="1:9" x14ac:dyDescent="0.3">
      <c r="A3" s="108" t="s">
        <v>3</v>
      </c>
      <c r="B3" s="70" t="s">
        <v>4</v>
      </c>
      <c r="C3" s="69"/>
      <c r="D3" s="88"/>
      <c r="E3" s="68"/>
      <c r="F3" s="69"/>
      <c r="G3" s="147" t="s">
        <v>112</v>
      </c>
      <c r="H3" s="148" t="s">
        <v>5</v>
      </c>
      <c r="I3" s="149"/>
    </row>
    <row r="4" spans="1:9" x14ac:dyDescent="0.3">
      <c r="A4" s="108" t="s">
        <v>6</v>
      </c>
      <c r="B4" s="71" t="s">
        <v>71</v>
      </c>
      <c r="C4" s="69"/>
      <c r="D4" s="88"/>
      <c r="E4" s="68"/>
      <c r="F4" s="69"/>
      <c r="G4" s="147"/>
      <c r="H4" s="148"/>
      <c r="I4" s="149"/>
    </row>
    <row r="5" spans="1:9" x14ac:dyDescent="0.3">
      <c r="A5" s="108" t="s">
        <v>7</v>
      </c>
      <c r="B5" s="70" t="s">
        <v>111</v>
      </c>
      <c r="C5" s="69"/>
      <c r="D5" s="88"/>
      <c r="E5" s="68"/>
      <c r="F5" s="69"/>
      <c r="G5" s="147"/>
      <c r="H5" s="148"/>
      <c r="I5" s="149"/>
    </row>
    <row r="6" spans="1:9" x14ac:dyDescent="0.3">
      <c r="A6" s="108"/>
      <c r="B6" s="72"/>
      <c r="C6" s="69"/>
      <c r="D6" s="88"/>
      <c r="E6" s="68"/>
      <c r="F6" s="69"/>
      <c r="G6" s="2"/>
      <c r="H6" s="150"/>
      <c r="I6" s="151"/>
    </row>
    <row r="7" spans="1:9" x14ac:dyDescent="0.3">
      <c r="A7" s="108"/>
      <c r="B7" s="72"/>
      <c r="C7" s="69"/>
      <c r="D7" s="88"/>
      <c r="E7" s="68"/>
      <c r="F7" s="69"/>
      <c r="G7" s="3" t="s">
        <v>8</v>
      </c>
      <c r="H7" s="152" t="s">
        <v>8</v>
      </c>
      <c r="I7" s="153"/>
    </row>
    <row r="8" spans="1:9" ht="15" thickBot="1" x14ac:dyDescent="0.35">
      <c r="A8" s="109"/>
      <c r="B8" s="4"/>
      <c r="C8" s="5"/>
      <c r="D8" s="89"/>
      <c r="E8" s="4"/>
      <c r="F8" s="5"/>
      <c r="G8" s="6"/>
      <c r="H8" s="154"/>
      <c r="I8" s="155"/>
    </row>
    <row r="9" spans="1:9" ht="21" thickBot="1" x14ac:dyDescent="0.35">
      <c r="A9" s="156" t="s">
        <v>9</v>
      </c>
      <c r="B9" s="157"/>
      <c r="C9" s="157"/>
      <c r="D9" s="157"/>
      <c r="E9" s="157"/>
      <c r="F9" s="157"/>
      <c r="G9" s="157"/>
      <c r="H9" s="157"/>
      <c r="I9" s="158"/>
    </row>
    <row r="10" spans="1:9" x14ac:dyDescent="0.3">
      <c r="A10" s="159" t="s">
        <v>10</v>
      </c>
      <c r="B10" s="160"/>
      <c r="C10" s="161"/>
      <c r="D10" s="162" t="s">
        <v>11</v>
      </c>
      <c r="E10" s="160"/>
      <c r="F10" s="161"/>
      <c r="G10" s="162" t="s">
        <v>12</v>
      </c>
      <c r="H10" s="160"/>
      <c r="I10" s="163"/>
    </row>
    <row r="11" spans="1:9" x14ac:dyDescent="0.3">
      <c r="A11" s="110" t="s">
        <v>13</v>
      </c>
      <c r="B11" s="139" t="s">
        <v>14</v>
      </c>
      <c r="C11" s="140"/>
      <c r="D11" s="90" t="s">
        <v>13</v>
      </c>
      <c r="E11" s="139" t="s">
        <v>14</v>
      </c>
      <c r="F11" s="140"/>
      <c r="G11" s="7" t="s">
        <v>13</v>
      </c>
      <c r="H11" s="139" t="s">
        <v>14</v>
      </c>
      <c r="I11" s="141"/>
    </row>
    <row r="12" spans="1:9" ht="18" x14ac:dyDescent="0.35">
      <c r="A12" s="111" t="s">
        <v>128</v>
      </c>
      <c r="B12" s="64">
        <v>800000</v>
      </c>
      <c r="C12" s="9"/>
      <c r="D12" s="107" t="s">
        <v>116</v>
      </c>
      <c r="E12" s="106">
        <v>200000</v>
      </c>
      <c r="F12" s="62"/>
      <c r="G12" s="65" t="s">
        <v>51</v>
      </c>
      <c r="H12" s="64">
        <v>350000</v>
      </c>
      <c r="I12" s="112"/>
    </row>
    <row r="13" spans="1:9" ht="18" x14ac:dyDescent="0.35">
      <c r="A13" s="111" t="s">
        <v>69</v>
      </c>
      <c r="B13" s="64">
        <v>1100000</v>
      </c>
      <c r="C13" s="11"/>
      <c r="D13" s="107" t="s">
        <v>70</v>
      </c>
      <c r="E13" s="106">
        <v>200000</v>
      </c>
      <c r="F13" s="63"/>
      <c r="G13" s="107" t="s">
        <v>52</v>
      </c>
      <c r="H13" s="106">
        <v>400000</v>
      </c>
      <c r="I13" s="113"/>
    </row>
    <row r="14" spans="1:9" ht="18" x14ac:dyDescent="0.35">
      <c r="A14" s="111" t="s">
        <v>129</v>
      </c>
      <c r="B14" s="64">
        <v>500000</v>
      </c>
      <c r="C14" s="11"/>
      <c r="D14" s="107" t="s">
        <v>120</v>
      </c>
      <c r="E14" s="106">
        <v>200000</v>
      </c>
      <c r="F14" s="63"/>
      <c r="G14" s="65" t="s">
        <v>67</v>
      </c>
      <c r="H14" s="64">
        <v>900000</v>
      </c>
      <c r="I14" s="113"/>
    </row>
    <row r="15" spans="1:9" ht="18" x14ac:dyDescent="0.35">
      <c r="A15" s="111" t="s">
        <v>131</v>
      </c>
      <c r="B15" s="64">
        <v>300000</v>
      </c>
      <c r="C15" s="11"/>
      <c r="D15" s="107" t="s">
        <v>74</v>
      </c>
      <c r="E15" s="106">
        <v>200000</v>
      </c>
      <c r="F15" s="63"/>
      <c r="G15" s="65" t="s">
        <v>115</v>
      </c>
      <c r="H15" s="64">
        <v>12000</v>
      </c>
      <c r="I15" s="113"/>
    </row>
    <row r="16" spans="1:9" ht="18" x14ac:dyDescent="0.35">
      <c r="A16" s="111" t="s">
        <v>132</v>
      </c>
      <c r="B16" s="64">
        <v>600000</v>
      </c>
      <c r="C16" s="11"/>
      <c r="D16" s="107" t="s">
        <v>98</v>
      </c>
      <c r="E16" s="106">
        <v>500000</v>
      </c>
      <c r="F16" s="63"/>
      <c r="G16" s="65" t="s">
        <v>117</v>
      </c>
      <c r="H16" s="64">
        <v>300000</v>
      </c>
      <c r="I16" s="113"/>
    </row>
    <row r="17" spans="1:9" ht="18" x14ac:dyDescent="0.35">
      <c r="A17" s="114"/>
      <c r="B17" s="8"/>
      <c r="C17" s="11"/>
      <c r="D17" s="107" t="s">
        <v>126</v>
      </c>
      <c r="E17" s="106">
        <v>200000</v>
      </c>
      <c r="F17" s="63"/>
      <c r="G17" s="65" t="s">
        <v>118</v>
      </c>
      <c r="H17" s="64">
        <v>25000</v>
      </c>
      <c r="I17" s="113"/>
    </row>
    <row r="18" spans="1:9" ht="18" x14ac:dyDescent="0.35">
      <c r="A18" s="115"/>
      <c r="B18" s="8"/>
      <c r="C18" s="11"/>
      <c r="D18" s="107" t="s">
        <v>66</v>
      </c>
      <c r="E18" s="106">
        <v>250000</v>
      </c>
      <c r="F18" s="63"/>
      <c r="G18" s="65" t="s">
        <v>119</v>
      </c>
      <c r="H18" s="64">
        <v>50000</v>
      </c>
      <c r="I18" s="113"/>
    </row>
    <row r="19" spans="1:9" ht="18" x14ac:dyDescent="0.35">
      <c r="A19" s="115"/>
      <c r="B19" s="8"/>
      <c r="C19" s="11"/>
      <c r="D19" s="91"/>
      <c r="E19" s="73"/>
      <c r="F19" s="63"/>
      <c r="G19" s="65" t="s">
        <v>99</v>
      </c>
      <c r="H19" s="64">
        <v>500000</v>
      </c>
      <c r="I19" s="113"/>
    </row>
    <row r="20" spans="1:9" ht="18" x14ac:dyDescent="0.35">
      <c r="A20" s="115"/>
      <c r="B20" s="8"/>
      <c r="C20" s="11"/>
      <c r="D20" s="91"/>
      <c r="E20" s="73"/>
      <c r="F20" s="63"/>
      <c r="G20" s="65" t="s">
        <v>78</v>
      </c>
      <c r="H20" s="64">
        <v>25000</v>
      </c>
      <c r="I20" s="113"/>
    </row>
    <row r="21" spans="1:9" ht="18" x14ac:dyDescent="0.35">
      <c r="A21" s="115"/>
      <c r="B21" s="8"/>
      <c r="C21" s="11"/>
      <c r="D21" s="91"/>
      <c r="E21" s="73"/>
      <c r="F21" s="63"/>
      <c r="G21" s="65" t="s">
        <v>124</v>
      </c>
      <c r="H21" s="64">
        <v>200000</v>
      </c>
      <c r="I21" s="113"/>
    </row>
    <row r="22" spans="1:9" ht="18" x14ac:dyDescent="0.35">
      <c r="A22" s="115"/>
      <c r="B22" s="8"/>
      <c r="C22" s="11"/>
      <c r="D22" s="91"/>
      <c r="E22" s="73"/>
      <c r="F22" s="63"/>
      <c r="G22" s="65" t="s">
        <v>127</v>
      </c>
      <c r="H22" s="64">
        <v>15000</v>
      </c>
      <c r="I22" s="113"/>
    </row>
    <row r="23" spans="1:9" ht="18" x14ac:dyDescent="0.35">
      <c r="A23" s="115"/>
      <c r="B23" s="8"/>
      <c r="C23" s="11"/>
      <c r="D23" s="91"/>
      <c r="E23" s="73"/>
      <c r="F23" s="63"/>
      <c r="G23" s="65" t="s">
        <v>130</v>
      </c>
      <c r="H23" s="64">
        <v>110639</v>
      </c>
      <c r="I23" s="113"/>
    </row>
    <row r="24" spans="1:9" ht="18" x14ac:dyDescent="0.35">
      <c r="A24" s="115"/>
      <c r="B24" s="8"/>
      <c r="C24" s="11"/>
      <c r="D24" s="91"/>
      <c r="E24" s="73"/>
      <c r="F24" s="63"/>
      <c r="G24" s="65" t="s">
        <v>97</v>
      </c>
      <c r="H24" s="64">
        <v>200000</v>
      </c>
      <c r="I24" s="113"/>
    </row>
    <row r="25" spans="1:9" ht="18" x14ac:dyDescent="0.35">
      <c r="A25" s="115"/>
      <c r="B25" s="8"/>
      <c r="C25" s="11"/>
      <c r="D25" s="91"/>
      <c r="E25" s="73"/>
      <c r="F25" s="63"/>
      <c r="G25" s="65" t="s">
        <v>135</v>
      </c>
      <c r="H25" s="64">
        <v>55000</v>
      </c>
      <c r="I25" s="113"/>
    </row>
    <row r="26" spans="1:9" ht="18" x14ac:dyDescent="0.35">
      <c r="A26" s="115"/>
      <c r="B26" s="8"/>
      <c r="C26" s="11"/>
      <c r="D26" s="91"/>
      <c r="E26" s="73"/>
      <c r="F26" s="63"/>
      <c r="G26" s="65" t="s">
        <v>136</v>
      </c>
      <c r="H26" s="64">
        <v>800000</v>
      </c>
      <c r="I26" s="113"/>
    </row>
    <row r="27" spans="1:9" ht="18" x14ac:dyDescent="0.35">
      <c r="A27" s="115"/>
      <c r="B27" s="8"/>
      <c r="C27" s="11"/>
      <c r="D27" s="91"/>
      <c r="E27" s="73"/>
      <c r="F27" s="63"/>
      <c r="G27" s="65" t="s">
        <v>137</v>
      </c>
      <c r="H27" s="64">
        <v>346152</v>
      </c>
      <c r="I27" s="113"/>
    </row>
    <row r="28" spans="1:9" ht="18" x14ac:dyDescent="0.35">
      <c r="A28" s="115"/>
      <c r="B28" s="8"/>
      <c r="C28" s="11"/>
      <c r="D28" s="91"/>
      <c r="E28" s="73"/>
      <c r="F28" s="63"/>
      <c r="G28" s="65"/>
      <c r="H28" s="64"/>
      <c r="I28" s="113"/>
    </row>
    <row r="29" spans="1:9" ht="18" x14ac:dyDescent="0.35">
      <c r="A29" s="115"/>
      <c r="B29" s="8"/>
      <c r="C29" s="11"/>
      <c r="D29" s="92"/>
      <c r="E29" s="74"/>
      <c r="F29" s="11"/>
      <c r="G29" s="65"/>
      <c r="H29" s="64"/>
      <c r="I29" s="116"/>
    </row>
    <row r="30" spans="1:9" ht="18" x14ac:dyDescent="0.35">
      <c r="A30" s="115"/>
      <c r="B30" s="8"/>
      <c r="C30" s="11"/>
      <c r="D30" s="92"/>
      <c r="E30" s="74"/>
      <c r="F30" s="11"/>
      <c r="G30" s="65"/>
      <c r="H30" s="64"/>
      <c r="I30" s="116"/>
    </row>
    <row r="31" spans="1:9" ht="18" x14ac:dyDescent="0.35">
      <c r="A31" s="115"/>
      <c r="B31" s="8"/>
      <c r="C31" s="11"/>
      <c r="D31" s="92"/>
      <c r="E31" s="74"/>
      <c r="F31" s="11"/>
      <c r="G31" s="65"/>
      <c r="H31" s="64"/>
      <c r="I31" s="116"/>
    </row>
    <row r="32" spans="1:9" ht="18" x14ac:dyDescent="0.35">
      <c r="A32" s="115"/>
      <c r="B32" s="8"/>
      <c r="C32" s="11"/>
      <c r="D32" s="92"/>
      <c r="E32" s="74"/>
      <c r="F32" s="11"/>
      <c r="G32" s="67"/>
      <c r="H32" s="64"/>
      <c r="I32" s="116"/>
    </row>
    <row r="33" spans="1:9" ht="18" x14ac:dyDescent="0.35">
      <c r="A33" s="115"/>
      <c r="B33" s="8"/>
      <c r="C33" s="11"/>
      <c r="D33" s="92"/>
      <c r="E33" s="74"/>
      <c r="F33" s="11"/>
      <c r="G33" s="65"/>
      <c r="H33" s="64"/>
      <c r="I33" s="116"/>
    </row>
    <row r="34" spans="1:9" ht="18" x14ac:dyDescent="0.35">
      <c r="A34" s="115"/>
      <c r="B34" s="8"/>
      <c r="C34" s="11"/>
      <c r="D34" s="92"/>
      <c r="E34" s="74"/>
      <c r="F34" s="11"/>
      <c r="G34" s="65"/>
      <c r="H34" s="64"/>
      <c r="I34" s="116"/>
    </row>
    <row r="35" spans="1:9" ht="18" x14ac:dyDescent="0.35">
      <c r="A35" s="115"/>
      <c r="B35" s="8"/>
      <c r="C35" s="11"/>
      <c r="D35" s="92"/>
      <c r="E35" s="74"/>
      <c r="F35" s="11"/>
      <c r="G35" s="65"/>
      <c r="H35" s="64"/>
      <c r="I35" s="116"/>
    </row>
    <row r="36" spans="1:9" x14ac:dyDescent="0.3">
      <c r="A36" s="115"/>
      <c r="B36" s="8"/>
      <c r="C36" s="11"/>
      <c r="D36" s="92"/>
      <c r="E36" s="74"/>
      <c r="F36" s="11"/>
      <c r="G36" s="10"/>
      <c r="H36" s="8"/>
      <c r="I36" s="116"/>
    </row>
    <row r="37" spans="1:9" x14ac:dyDescent="0.3">
      <c r="A37" s="117" t="s">
        <v>15</v>
      </c>
      <c r="B37" s="8">
        <f>SUM(B12:B36)</f>
        <v>3300000</v>
      </c>
      <c r="C37" s="11"/>
      <c r="D37" s="93" t="s">
        <v>15</v>
      </c>
      <c r="E37" s="74">
        <f>SUM(E12:E36)</f>
        <v>1750000</v>
      </c>
      <c r="F37" s="11"/>
      <c r="G37" s="12" t="s">
        <v>15</v>
      </c>
      <c r="H37" s="8">
        <f>SUM(H12:H36)</f>
        <v>4288791</v>
      </c>
      <c r="I37" s="116"/>
    </row>
    <row r="38" spans="1:9" ht="15" thickBot="1" x14ac:dyDescent="0.35">
      <c r="A38" s="118"/>
      <c r="B38" s="13"/>
      <c r="C38" s="14"/>
      <c r="D38" s="94"/>
      <c r="E38" s="75"/>
      <c r="F38" s="14"/>
      <c r="G38" s="13"/>
      <c r="H38" s="13"/>
      <c r="I38" s="119"/>
    </row>
    <row r="39" spans="1:9" ht="21" thickBot="1" x14ac:dyDescent="0.35">
      <c r="A39" s="164" t="s">
        <v>16</v>
      </c>
      <c r="B39" s="165"/>
      <c r="C39" s="165"/>
      <c r="D39" s="165"/>
      <c r="E39" s="165"/>
      <c r="F39" s="165"/>
      <c r="G39" s="165"/>
      <c r="H39" s="165"/>
      <c r="I39" s="166"/>
    </row>
    <row r="40" spans="1:9" x14ac:dyDescent="0.3">
      <c r="A40" s="159" t="s">
        <v>17</v>
      </c>
      <c r="B40" s="160"/>
      <c r="C40" s="161"/>
      <c r="D40" s="162" t="s">
        <v>18</v>
      </c>
      <c r="E40" s="160"/>
      <c r="F40" s="160"/>
      <c r="G40" s="160"/>
      <c r="H40" s="160"/>
      <c r="I40" s="163"/>
    </row>
    <row r="41" spans="1:9" x14ac:dyDescent="0.3">
      <c r="A41" s="110" t="s">
        <v>13</v>
      </c>
      <c r="B41" s="139" t="s">
        <v>19</v>
      </c>
      <c r="C41" s="140"/>
      <c r="D41" s="90" t="s">
        <v>13</v>
      </c>
      <c r="E41" s="139" t="s">
        <v>19</v>
      </c>
      <c r="F41" s="140"/>
      <c r="G41" s="7" t="s">
        <v>13</v>
      </c>
      <c r="H41" s="139" t="s">
        <v>19</v>
      </c>
      <c r="I41" s="141"/>
    </row>
    <row r="42" spans="1:9" x14ac:dyDescent="0.3">
      <c r="A42" s="120" t="s">
        <v>20</v>
      </c>
      <c r="B42" s="15"/>
      <c r="C42" s="9"/>
      <c r="D42" s="95" t="s">
        <v>21</v>
      </c>
      <c r="E42" s="76"/>
      <c r="F42" s="9"/>
      <c r="G42" s="16" t="s">
        <v>22</v>
      </c>
      <c r="H42" s="17"/>
      <c r="I42" s="121"/>
    </row>
    <row r="43" spans="1:9" x14ac:dyDescent="0.3">
      <c r="A43" s="115" t="s">
        <v>125</v>
      </c>
      <c r="B43" s="18">
        <v>1</v>
      </c>
      <c r="C43" s="9"/>
      <c r="D43" s="92"/>
      <c r="E43" s="25"/>
      <c r="F43" s="9"/>
      <c r="G43" s="21" t="s">
        <v>60</v>
      </c>
      <c r="H43" s="17">
        <v>2</v>
      </c>
      <c r="I43" s="121"/>
    </row>
    <row r="44" spans="1:9" x14ac:dyDescent="0.3">
      <c r="A44" s="115"/>
      <c r="B44" s="20"/>
      <c r="C44" s="11"/>
      <c r="D44" s="92"/>
      <c r="E44" s="25"/>
      <c r="F44" s="11"/>
      <c r="G44" s="21" t="s">
        <v>77</v>
      </c>
      <c r="H44" s="17">
        <v>2</v>
      </c>
      <c r="I44" s="116"/>
    </row>
    <row r="45" spans="1:9" x14ac:dyDescent="0.3">
      <c r="A45" s="114"/>
      <c r="B45" s="17"/>
      <c r="C45" s="11"/>
      <c r="D45" s="92"/>
      <c r="E45" s="25"/>
      <c r="F45" s="11"/>
      <c r="G45" s="21" t="s">
        <v>122</v>
      </c>
      <c r="H45" s="17">
        <v>2</v>
      </c>
      <c r="I45" s="116"/>
    </row>
    <row r="46" spans="1:9" x14ac:dyDescent="0.3">
      <c r="A46" s="114"/>
      <c r="B46" s="20"/>
      <c r="C46" s="11"/>
      <c r="D46" s="92"/>
      <c r="E46" s="25"/>
      <c r="F46" s="11"/>
      <c r="G46" s="21" t="s">
        <v>123</v>
      </c>
      <c r="H46" s="17">
        <v>3</v>
      </c>
      <c r="I46" s="116"/>
    </row>
    <row r="47" spans="1:9" x14ac:dyDescent="0.3">
      <c r="A47" s="115"/>
      <c r="B47" s="17"/>
      <c r="C47" s="11"/>
      <c r="D47" s="92"/>
      <c r="E47" s="25"/>
      <c r="F47" s="11"/>
      <c r="G47" s="21" t="s">
        <v>63</v>
      </c>
      <c r="H47" s="17">
        <v>2</v>
      </c>
      <c r="I47" s="116"/>
    </row>
    <row r="48" spans="1:9" x14ac:dyDescent="0.3">
      <c r="A48" s="115"/>
      <c r="B48" s="17"/>
      <c r="C48" s="11"/>
      <c r="D48" s="92"/>
      <c r="E48" s="25"/>
      <c r="F48" s="11"/>
      <c r="G48" s="21" t="s">
        <v>61</v>
      </c>
      <c r="H48" s="17">
        <v>1</v>
      </c>
      <c r="I48" s="116"/>
    </row>
    <row r="49" spans="1:9" x14ac:dyDescent="0.3">
      <c r="A49" s="115"/>
      <c r="B49" s="17"/>
      <c r="C49" s="11"/>
      <c r="D49" s="96"/>
      <c r="E49" s="25"/>
      <c r="F49" s="11"/>
      <c r="G49" s="21" t="s">
        <v>75</v>
      </c>
      <c r="H49" s="17">
        <v>2</v>
      </c>
      <c r="I49" s="116"/>
    </row>
    <row r="50" spans="1:9" x14ac:dyDescent="0.3">
      <c r="A50" s="115"/>
      <c r="B50" s="17"/>
      <c r="C50" s="11"/>
      <c r="D50" s="97"/>
      <c r="E50" s="77"/>
      <c r="F50" s="11"/>
      <c r="G50" s="21" t="s">
        <v>133</v>
      </c>
      <c r="H50" s="17">
        <v>1</v>
      </c>
      <c r="I50" s="116"/>
    </row>
    <row r="51" spans="1:9" x14ac:dyDescent="0.3">
      <c r="A51" s="115"/>
      <c r="B51" s="17"/>
      <c r="C51" s="11"/>
      <c r="D51" s="98"/>
      <c r="E51" s="77"/>
      <c r="F51" s="11"/>
      <c r="G51" s="21" t="s">
        <v>134</v>
      </c>
      <c r="H51" s="17">
        <v>1</v>
      </c>
      <c r="I51" s="116"/>
    </row>
    <row r="52" spans="1:9" x14ac:dyDescent="0.3">
      <c r="A52" s="115"/>
      <c r="B52" s="17"/>
      <c r="C52" s="23"/>
      <c r="D52" s="24"/>
      <c r="E52" s="25"/>
      <c r="F52" s="11"/>
      <c r="G52" s="19"/>
      <c r="H52" s="17"/>
      <c r="I52" s="116"/>
    </row>
    <row r="53" spans="1:9" x14ac:dyDescent="0.3">
      <c r="A53" s="115"/>
      <c r="B53" s="17"/>
      <c r="C53" s="11"/>
      <c r="D53" s="99"/>
      <c r="E53" s="77"/>
      <c r="F53" s="11"/>
      <c r="G53" s="19"/>
      <c r="H53" s="17"/>
      <c r="I53" s="116"/>
    </row>
    <row r="54" spans="1:9" x14ac:dyDescent="0.3">
      <c r="A54" s="115"/>
      <c r="B54" s="17"/>
      <c r="C54" s="11"/>
      <c r="D54" s="100"/>
      <c r="E54" s="77"/>
      <c r="F54" s="11"/>
      <c r="G54" s="19"/>
      <c r="H54" s="17"/>
      <c r="I54" s="116"/>
    </row>
    <row r="55" spans="1:9" x14ac:dyDescent="0.3">
      <c r="A55" s="115"/>
      <c r="B55" s="17"/>
      <c r="C55" s="11"/>
      <c r="D55" s="101"/>
      <c r="E55" s="30"/>
      <c r="F55" s="11"/>
      <c r="G55" s="26"/>
      <c r="H55" s="17"/>
      <c r="I55" s="116"/>
    </row>
    <row r="56" spans="1:9" x14ac:dyDescent="0.3">
      <c r="A56" s="118"/>
      <c r="B56" s="27"/>
      <c r="C56" s="14"/>
      <c r="D56" s="102"/>
      <c r="E56" s="30"/>
      <c r="F56" s="11"/>
      <c r="G56" s="28"/>
      <c r="H56" s="29"/>
      <c r="I56" s="116"/>
    </row>
    <row r="57" spans="1:9" x14ac:dyDescent="0.3">
      <c r="A57" s="173" t="s">
        <v>24</v>
      </c>
      <c r="B57" s="171"/>
      <c r="C57" s="174"/>
      <c r="D57" s="54" t="s">
        <v>23</v>
      </c>
      <c r="E57" s="30"/>
      <c r="F57" s="11"/>
      <c r="G57" s="31"/>
      <c r="H57" s="29"/>
      <c r="I57" s="116"/>
    </row>
    <row r="58" spans="1:9" x14ac:dyDescent="0.3">
      <c r="A58" s="122" t="s">
        <v>39</v>
      </c>
      <c r="B58" s="29"/>
      <c r="C58" s="32"/>
      <c r="D58" s="66" t="s">
        <v>41</v>
      </c>
      <c r="E58" s="30"/>
      <c r="F58" s="23"/>
      <c r="G58" s="33" t="s">
        <v>23</v>
      </c>
      <c r="H58" s="34"/>
      <c r="I58" s="116"/>
    </row>
    <row r="59" spans="1:9" x14ac:dyDescent="0.3">
      <c r="A59" s="123"/>
      <c r="B59" s="29"/>
      <c r="C59" s="11"/>
      <c r="D59" s="103" t="s">
        <v>42</v>
      </c>
      <c r="E59" s="30"/>
      <c r="F59" s="35"/>
      <c r="G59" s="15" t="s">
        <v>55</v>
      </c>
      <c r="H59" s="36">
        <v>2</v>
      </c>
      <c r="I59" s="116"/>
    </row>
    <row r="60" spans="1:9" x14ac:dyDescent="0.3">
      <c r="A60" s="124"/>
      <c r="B60" s="29"/>
      <c r="C60" s="11"/>
      <c r="D60" s="92" t="s">
        <v>68</v>
      </c>
      <c r="E60" s="30"/>
      <c r="F60" s="35"/>
      <c r="G60" s="10" t="s">
        <v>56</v>
      </c>
      <c r="H60" s="36">
        <v>8</v>
      </c>
      <c r="I60" s="116"/>
    </row>
    <row r="61" spans="1:9" x14ac:dyDescent="0.3">
      <c r="A61" s="125"/>
      <c r="B61" s="29"/>
      <c r="C61" s="11"/>
      <c r="D61" s="92" t="s">
        <v>43</v>
      </c>
      <c r="E61" s="30"/>
      <c r="F61" s="35"/>
      <c r="G61" s="10" t="s">
        <v>59</v>
      </c>
      <c r="H61" s="36">
        <v>7</v>
      </c>
      <c r="I61" s="116"/>
    </row>
    <row r="62" spans="1:9" x14ac:dyDescent="0.3">
      <c r="A62" s="122" t="s">
        <v>40</v>
      </c>
      <c r="B62" s="29"/>
      <c r="C62" s="11"/>
      <c r="D62" s="92" t="s">
        <v>53</v>
      </c>
      <c r="E62" s="30"/>
      <c r="F62" s="35"/>
      <c r="G62" s="10" t="s">
        <v>57</v>
      </c>
      <c r="H62" s="36">
        <v>2</v>
      </c>
      <c r="I62" s="116"/>
    </row>
    <row r="63" spans="1:9" x14ac:dyDescent="0.3">
      <c r="A63" s="123" t="s">
        <v>113</v>
      </c>
      <c r="B63" s="29" t="s">
        <v>114</v>
      </c>
      <c r="C63" s="11"/>
      <c r="D63" s="92" t="s">
        <v>44</v>
      </c>
      <c r="E63" s="78"/>
      <c r="F63" s="35"/>
      <c r="G63" s="13" t="s">
        <v>58</v>
      </c>
      <c r="H63" s="36">
        <v>2</v>
      </c>
      <c r="I63" s="116"/>
    </row>
    <row r="64" spans="1:9" x14ac:dyDescent="0.3">
      <c r="A64" s="123"/>
      <c r="B64" s="29"/>
      <c r="C64" s="11"/>
      <c r="D64" s="92" t="s">
        <v>47</v>
      </c>
      <c r="E64" s="78"/>
      <c r="F64" s="61"/>
      <c r="G64" s="136"/>
      <c r="H64" s="38"/>
      <c r="I64" s="116"/>
    </row>
    <row r="65" spans="1:9" x14ac:dyDescent="0.3">
      <c r="A65" s="115"/>
      <c r="B65" s="17"/>
      <c r="C65" s="11"/>
      <c r="D65" s="92" t="s">
        <v>46</v>
      </c>
      <c r="E65" s="79"/>
      <c r="F65" s="37"/>
      <c r="G65" s="22"/>
      <c r="H65" s="38"/>
      <c r="I65" s="116"/>
    </row>
    <row r="66" spans="1:9" x14ac:dyDescent="0.3">
      <c r="A66" s="115"/>
      <c r="B66" s="17"/>
      <c r="C66" s="11"/>
      <c r="D66" s="92" t="s">
        <v>49</v>
      </c>
      <c r="E66" s="79"/>
      <c r="F66" s="37"/>
      <c r="G66" s="39" t="s">
        <v>38</v>
      </c>
      <c r="H66" s="38"/>
      <c r="I66" s="116"/>
    </row>
    <row r="67" spans="1:9" x14ac:dyDescent="0.3">
      <c r="A67" s="118"/>
      <c r="B67" s="13"/>
      <c r="C67" s="14"/>
      <c r="D67" s="92" t="s">
        <v>45</v>
      </c>
      <c r="E67" s="79"/>
      <c r="F67" s="40"/>
      <c r="G67" s="137" t="s">
        <v>138</v>
      </c>
      <c r="H67" s="34" t="s">
        <v>139</v>
      </c>
      <c r="I67" s="119"/>
    </row>
    <row r="68" spans="1:9" x14ac:dyDescent="0.3">
      <c r="A68" s="118"/>
      <c r="B68" s="13"/>
      <c r="C68" s="14"/>
      <c r="D68" s="92" t="s">
        <v>50</v>
      </c>
      <c r="E68" s="79"/>
      <c r="F68" s="40"/>
      <c r="G68" s="136" t="s">
        <v>140</v>
      </c>
      <c r="H68" s="38">
        <v>1</v>
      </c>
      <c r="I68" s="119"/>
    </row>
    <row r="69" spans="1:9" x14ac:dyDescent="0.3">
      <c r="A69" s="118"/>
      <c r="B69" s="13"/>
      <c r="C69" s="14"/>
      <c r="D69" s="92" t="s">
        <v>83</v>
      </c>
      <c r="E69" s="80"/>
      <c r="F69" s="40"/>
      <c r="G69" s="24"/>
      <c r="H69" s="38"/>
      <c r="I69" s="119"/>
    </row>
    <row r="70" spans="1:9" x14ac:dyDescent="0.3">
      <c r="A70" s="118"/>
      <c r="B70" s="31" t="s">
        <v>25</v>
      </c>
      <c r="C70" s="14"/>
      <c r="D70" s="92" t="s">
        <v>48</v>
      </c>
      <c r="E70" s="81"/>
      <c r="F70" s="40"/>
      <c r="G70" s="41"/>
      <c r="H70" s="38"/>
      <c r="I70" s="119"/>
    </row>
    <row r="71" spans="1:9" ht="15.6" x14ac:dyDescent="0.3">
      <c r="A71" s="118"/>
      <c r="B71" s="13"/>
      <c r="C71" s="14"/>
      <c r="D71" s="91" t="s">
        <v>121</v>
      </c>
      <c r="E71" s="77"/>
      <c r="F71" s="40"/>
      <c r="G71" s="55" t="s">
        <v>22</v>
      </c>
      <c r="H71" s="42"/>
      <c r="I71" s="119"/>
    </row>
    <row r="72" spans="1:9" ht="15.6" x14ac:dyDescent="0.3">
      <c r="A72" s="118"/>
      <c r="B72" s="13"/>
      <c r="C72" s="14"/>
      <c r="D72" s="91"/>
      <c r="E72" s="82"/>
      <c r="F72" s="43"/>
      <c r="G72" s="56"/>
      <c r="H72" s="57"/>
      <c r="I72" s="119"/>
    </row>
    <row r="73" spans="1:9" ht="15.6" x14ac:dyDescent="0.3">
      <c r="A73" s="118"/>
      <c r="B73" s="13"/>
      <c r="C73" s="14"/>
      <c r="D73" s="91"/>
      <c r="E73" s="83"/>
      <c r="F73" s="43"/>
      <c r="G73" s="58"/>
      <c r="H73" s="57"/>
      <c r="I73" s="119"/>
    </row>
    <row r="74" spans="1:9" ht="16.2" thickBot="1" x14ac:dyDescent="0.35">
      <c r="A74" s="126"/>
      <c r="B74" s="44"/>
      <c r="C74" s="45"/>
      <c r="D74" s="91"/>
      <c r="E74" s="77"/>
      <c r="F74" s="46"/>
      <c r="G74" s="47"/>
      <c r="H74" s="48"/>
      <c r="I74" s="127"/>
    </row>
    <row r="75" spans="1:9" x14ac:dyDescent="0.3">
      <c r="A75" s="128"/>
      <c r="B75" s="49"/>
      <c r="C75" s="50"/>
      <c r="D75" s="104"/>
      <c r="E75" s="49"/>
      <c r="F75" s="50"/>
      <c r="G75" s="51"/>
      <c r="H75" s="49"/>
      <c r="I75" s="129"/>
    </row>
    <row r="76" spans="1:9" ht="18" x14ac:dyDescent="0.3">
      <c r="A76" s="130" t="s">
        <v>26</v>
      </c>
      <c r="B76" s="175">
        <f>B37+E37+H37</f>
        <v>9338791</v>
      </c>
      <c r="C76" s="176"/>
      <c r="D76" s="177"/>
      <c r="E76" s="84"/>
      <c r="F76" s="52" t="s">
        <v>27</v>
      </c>
      <c r="G76" s="170" t="s">
        <v>28</v>
      </c>
      <c r="H76" s="171"/>
      <c r="I76" s="172"/>
    </row>
    <row r="77" spans="1:9" ht="18" x14ac:dyDescent="0.3">
      <c r="A77" s="130" t="s">
        <v>29</v>
      </c>
      <c r="B77" s="167"/>
      <c r="C77" s="168"/>
      <c r="D77" s="169"/>
      <c r="E77" s="85"/>
      <c r="F77" s="52" t="s">
        <v>30</v>
      </c>
      <c r="G77" s="170" t="s">
        <v>31</v>
      </c>
      <c r="H77" s="171"/>
      <c r="I77" s="172"/>
    </row>
    <row r="78" spans="1:9" ht="18" x14ac:dyDescent="0.3">
      <c r="A78" s="130" t="s">
        <v>32</v>
      </c>
      <c r="B78" s="167"/>
      <c r="C78" s="168"/>
      <c r="D78" s="169"/>
      <c r="E78" s="86"/>
      <c r="F78" s="52" t="s">
        <v>33</v>
      </c>
      <c r="G78" s="170" t="s">
        <v>34</v>
      </c>
      <c r="H78" s="171"/>
      <c r="I78" s="172"/>
    </row>
    <row r="79" spans="1:9" ht="18" x14ac:dyDescent="0.3">
      <c r="A79" s="130" t="s">
        <v>35</v>
      </c>
      <c r="B79" s="167"/>
      <c r="C79" s="168"/>
      <c r="D79" s="169"/>
      <c r="E79" s="87"/>
      <c r="F79" s="53" t="s">
        <v>36</v>
      </c>
      <c r="G79" s="170" t="s">
        <v>37</v>
      </c>
      <c r="H79" s="171"/>
      <c r="I79" s="172"/>
    </row>
    <row r="80" spans="1:9" ht="15" thickBot="1" x14ac:dyDescent="0.35">
      <c r="A80" s="131"/>
      <c r="B80" s="132"/>
      <c r="C80" s="133"/>
      <c r="D80" s="134"/>
      <c r="E80" s="132"/>
      <c r="F80" s="133"/>
      <c r="G80" s="132"/>
      <c r="H80" s="132"/>
      <c r="I80" s="135"/>
    </row>
  </sheetData>
  <mergeCells count="29">
    <mergeCell ref="B79:D79"/>
    <mergeCell ref="G79:I79"/>
    <mergeCell ref="A39:I39"/>
    <mergeCell ref="B77:D77"/>
    <mergeCell ref="G77:I77"/>
    <mergeCell ref="B78:D78"/>
    <mergeCell ref="G78:I78"/>
    <mergeCell ref="A40:C40"/>
    <mergeCell ref="D40:I40"/>
    <mergeCell ref="A1:I1"/>
    <mergeCell ref="H2:I2"/>
    <mergeCell ref="G3:G5"/>
    <mergeCell ref="H3:I5"/>
    <mergeCell ref="H6:I6"/>
    <mergeCell ref="H7:I7"/>
    <mergeCell ref="H8:I8"/>
    <mergeCell ref="A9:I9"/>
    <mergeCell ref="A10:C10"/>
    <mergeCell ref="D10:F10"/>
    <mergeCell ref="G10:I10"/>
    <mergeCell ref="B11:C11"/>
    <mergeCell ref="E11:F11"/>
    <mergeCell ref="H11:I11"/>
    <mergeCell ref="A57:C57"/>
    <mergeCell ref="B76:D76"/>
    <mergeCell ref="G76:I76"/>
    <mergeCell ref="B41:C41"/>
    <mergeCell ref="E41:F41"/>
    <mergeCell ref="H41:I41"/>
  </mergeCells>
  <pageMargins left="0.23622047244094488" right="0" top="0.74803149606299213" bottom="0" header="0.31496062992125984" footer="0.31496062992125984"/>
  <pageSetup paperSize="9" scale="6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A244-3093-49CB-98C3-3B42ECAD9790}">
  <sheetPr>
    <pageSetUpPr fitToPage="1"/>
  </sheetPr>
  <dimension ref="A1:O80"/>
  <sheetViews>
    <sheetView topLeftCell="A31" zoomScale="60" workbookViewId="0">
      <selection sqref="A1:I80"/>
    </sheetView>
  </sheetViews>
  <sheetFormatPr defaultRowHeight="14.4" x14ac:dyDescent="0.3"/>
  <cols>
    <col min="1" max="1" width="25.44140625" bestFit="1" customWidth="1"/>
    <col min="2" max="2" width="20.5546875" bestFit="1" customWidth="1"/>
    <col min="3" max="3" width="4.6640625" customWidth="1"/>
    <col min="4" max="4" width="25" customWidth="1"/>
    <col min="5" max="5" width="22" customWidth="1"/>
    <col min="6" max="6" width="4" customWidth="1"/>
    <col min="7" max="7" width="34" bestFit="1" customWidth="1"/>
    <col min="8" max="8" width="19.88671875" customWidth="1"/>
    <col min="9" max="9" width="3.88671875" customWidth="1"/>
  </cols>
  <sheetData>
    <row r="1" spans="1:9" ht="34.799999999999997" x14ac:dyDescent="0.3">
      <c r="A1" s="142" t="s">
        <v>0</v>
      </c>
      <c r="B1" s="143"/>
      <c r="C1" s="143"/>
      <c r="D1" s="143"/>
      <c r="E1" s="143"/>
      <c r="F1" s="143"/>
      <c r="G1" s="143"/>
      <c r="H1" s="143"/>
      <c r="I1" s="144"/>
    </row>
    <row r="2" spans="1:9" x14ac:dyDescent="0.3">
      <c r="A2" s="108"/>
      <c r="B2" s="68"/>
      <c r="C2" s="69"/>
      <c r="D2" s="68"/>
      <c r="E2" s="68"/>
      <c r="F2" s="69"/>
      <c r="G2" s="1" t="s">
        <v>1</v>
      </c>
      <c r="H2" s="145" t="s">
        <v>2</v>
      </c>
      <c r="I2" s="146"/>
    </row>
    <row r="3" spans="1:9" x14ac:dyDescent="0.3">
      <c r="A3" s="108" t="s">
        <v>3</v>
      </c>
      <c r="B3" s="70" t="s">
        <v>4</v>
      </c>
      <c r="C3" s="69"/>
      <c r="D3" s="68"/>
      <c r="E3" s="68"/>
      <c r="F3" s="69"/>
      <c r="G3" s="147" t="s">
        <v>173</v>
      </c>
      <c r="H3" s="148" t="s">
        <v>5</v>
      </c>
      <c r="I3" s="149"/>
    </row>
    <row r="4" spans="1:9" x14ac:dyDescent="0.3">
      <c r="A4" s="108" t="s">
        <v>6</v>
      </c>
      <c r="B4" s="71" t="s">
        <v>71</v>
      </c>
      <c r="C4" s="69"/>
      <c r="D4" s="68"/>
      <c r="E4" s="68"/>
      <c r="F4" s="69"/>
      <c r="G4" s="147"/>
      <c r="H4" s="148"/>
      <c r="I4" s="149"/>
    </row>
    <row r="5" spans="1:9" x14ac:dyDescent="0.3">
      <c r="A5" s="108" t="s">
        <v>7</v>
      </c>
      <c r="B5" s="70" t="s">
        <v>172</v>
      </c>
      <c r="C5" s="69"/>
      <c r="D5" s="68"/>
      <c r="E5" s="68"/>
      <c r="F5" s="69"/>
      <c r="G5" s="147"/>
      <c r="H5" s="148"/>
      <c r="I5" s="149"/>
    </row>
    <row r="6" spans="1:9" x14ac:dyDescent="0.3">
      <c r="A6" s="108"/>
      <c r="B6" s="72"/>
      <c r="C6" s="69"/>
      <c r="D6" s="68"/>
      <c r="E6" s="68"/>
      <c r="F6" s="69"/>
      <c r="G6" s="2"/>
      <c r="H6" s="150"/>
      <c r="I6" s="151"/>
    </row>
    <row r="7" spans="1:9" x14ac:dyDescent="0.3">
      <c r="A7" s="108"/>
      <c r="B7" s="72"/>
      <c r="C7" s="69"/>
      <c r="D7" s="68"/>
      <c r="E7" s="68"/>
      <c r="F7" s="69"/>
      <c r="G7" s="3" t="s">
        <v>8</v>
      </c>
      <c r="H7" s="152" t="s">
        <v>8</v>
      </c>
      <c r="I7" s="153"/>
    </row>
    <row r="8" spans="1:9" ht="15" thickBot="1" x14ac:dyDescent="0.35">
      <c r="A8" s="109"/>
      <c r="B8" s="4"/>
      <c r="C8" s="5"/>
      <c r="D8" s="4"/>
      <c r="E8" s="138"/>
      <c r="F8" s="5"/>
      <c r="G8" s="6"/>
      <c r="H8" s="154"/>
      <c r="I8" s="155"/>
    </row>
    <row r="9" spans="1:9" ht="21" thickBot="1" x14ac:dyDescent="0.35">
      <c r="A9" s="156" t="s">
        <v>9</v>
      </c>
      <c r="B9" s="157"/>
      <c r="C9" s="157"/>
      <c r="D9" s="157"/>
      <c r="E9" s="178"/>
      <c r="F9" s="157"/>
      <c r="G9" s="157"/>
      <c r="H9" s="157"/>
      <c r="I9" s="158"/>
    </row>
    <row r="10" spans="1:9" x14ac:dyDescent="0.3">
      <c r="A10" s="159" t="s">
        <v>10</v>
      </c>
      <c r="B10" s="160"/>
      <c r="C10" s="161"/>
      <c r="D10" s="162" t="s">
        <v>11</v>
      </c>
      <c r="E10" s="160"/>
      <c r="F10" s="161"/>
      <c r="G10" s="162" t="s">
        <v>12</v>
      </c>
      <c r="H10" s="160"/>
      <c r="I10" s="163"/>
    </row>
    <row r="11" spans="1:9" x14ac:dyDescent="0.3">
      <c r="A11" s="110" t="s">
        <v>13</v>
      </c>
      <c r="B11" s="139" t="s">
        <v>14</v>
      </c>
      <c r="C11" s="140"/>
      <c r="D11" s="90" t="s">
        <v>13</v>
      </c>
      <c r="E11" s="139" t="s">
        <v>14</v>
      </c>
      <c r="F11" s="140"/>
      <c r="G11" s="7" t="s">
        <v>13</v>
      </c>
      <c r="H11" s="139" t="s">
        <v>14</v>
      </c>
      <c r="I11" s="141"/>
    </row>
    <row r="12" spans="1:9" ht="18" x14ac:dyDescent="0.35">
      <c r="A12" s="111" t="s">
        <v>69</v>
      </c>
      <c r="B12" s="64">
        <v>350000</v>
      </c>
      <c r="C12" s="9"/>
      <c r="D12" s="107" t="s">
        <v>81</v>
      </c>
      <c r="E12" s="106">
        <v>150000</v>
      </c>
      <c r="F12" s="62"/>
      <c r="G12" s="65" t="s">
        <v>52</v>
      </c>
      <c r="H12" s="64">
        <v>400000</v>
      </c>
      <c r="I12" s="112"/>
    </row>
    <row r="13" spans="1:9" ht="18" x14ac:dyDescent="0.35">
      <c r="A13" s="111" t="s">
        <v>168</v>
      </c>
      <c r="B13" s="64">
        <v>750000</v>
      </c>
      <c r="C13" s="11"/>
      <c r="D13" s="107" t="s">
        <v>70</v>
      </c>
      <c r="E13" s="106">
        <v>200000</v>
      </c>
      <c r="F13" s="63"/>
      <c r="G13" s="107" t="s">
        <v>51</v>
      </c>
      <c r="H13" s="106">
        <v>350000</v>
      </c>
      <c r="I13" s="113"/>
    </row>
    <row r="14" spans="1:9" ht="18" x14ac:dyDescent="0.35">
      <c r="A14" s="111"/>
      <c r="B14" s="64"/>
      <c r="C14" s="11"/>
      <c r="D14" s="107" t="s">
        <v>145</v>
      </c>
      <c r="E14" s="106">
        <v>150000</v>
      </c>
      <c r="F14" s="63"/>
      <c r="G14" s="65" t="s">
        <v>141</v>
      </c>
      <c r="H14" s="64">
        <v>25000</v>
      </c>
      <c r="I14" s="113"/>
    </row>
    <row r="15" spans="1:9" ht="18" x14ac:dyDescent="0.35">
      <c r="A15" s="111"/>
      <c r="B15" s="64"/>
      <c r="C15" s="11"/>
      <c r="D15" s="107" t="s">
        <v>150</v>
      </c>
      <c r="E15" s="106">
        <v>100000</v>
      </c>
      <c r="F15" s="63"/>
      <c r="G15" s="65" t="s">
        <v>151</v>
      </c>
      <c r="H15" s="64">
        <v>35000</v>
      </c>
      <c r="I15" s="113"/>
    </row>
    <row r="16" spans="1:9" ht="18" x14ac:dyDescent="0.35">
      <c r="A16" s="111"/>
      <c r="B16" s="64"/>
      <c r="C16" s="11"/>
      <c r="D16" s="107" t="s">
        <v>74</v>
      </c>
      <c r="E16" s="106">
        <v>200000</v>
      </c>
      <c r="F16" s="63"/>
      <c r="G16" s="65" t="s">
        <v>152</v>
      </c>
      <c r="H16" s="64">
        <v>216000</v>
      </c>
      <c r="I16" s="113"/>
    </row>
    <row r="17" spans="1:9" ht="18" x14ac:dyDescent="0.35">
      <c r="A17" s="114"/>
      <c r="B17" s="8"/>
      <c r="C17" s="11"/>
      <c r="D17" s="107" t="s">
        <v>79</v>
      </c>
      <c r="E17" s="106">
        <v>150000</v>
      </c>
      <c r="F17" s="63"/>
      <c r="G17" s="65" t="s">
        <v>158</v>
      </c>
      <c r="H17" s="64">
        <v>32000</v>
      </c>
      <c r="I17" s="113"/>
    </row>
    <row r="18" spans="1:9" ht="18" x14ac:dyDescent="0.35">
      <c r="A18" s="115"/>
      <c r="B18" s="8"/>
      <c r="C18" s="11"/>
      <c r="D18" s="107" t="s">
        <v>126</v>
      </c>
      <c r="E18" s="106">
        <v>150000</v>
      </c>
      <c r="F18" s="63"/>
      <c r="G18" s="65" t="s">
        <v>159</v>
      </c>
      <c r="H18" s="64">
        <v>65880</v>
      </c>
      <c r="I18" s="113"/>
    </row>
    <row r="19" spans="1:9" ht="18" x14ac:dyDescent="0.35">
      <c r="A19" s="115"/>
      <c r="B19" s="8"/>
      <c r="C19" s="11"/>
      <c r="D19" s="107" t="s">
        <v>66</v>
      </c>
      <c r="E19" s="106">
        <v>200000</v>
      </c>
      <c r="F19" s="63"/>
      <c r="G19" s="65" t="s">
        <v>127</v>
      </c>
      <c r="H19" s="64">
        <v>15000</v>
      </c>
      <c r="I19" s="113"/>
    </row>
    <row r="20" spans="1:9" ht="18" x14ac:dyDescent="0.35">
      <c r="A20" s="115"/>
      <c r="B20" s="8"/>
      <c r="C20" s="11"/>
      <c r="D20" s="91"/>
      <c r="E20" s="73"/>
      <c r="F20" s="63"/>
      <c r="G20" s="65" t="s">
        <v>163</v>
      </c>
      <c r="H20" s="64">
        <v>600000</v>
      </c>
      <c r="I20" s="113"/>
    </row>
    <row r="21" spans="1:9" ht="18" x14ac:dyDescent="0.35">
      <c r="A21" s="115"/>
      <c r="B21" s="8"/>
      <c r="C21" s="11"/>
      <c r="D21" s="91"/>
      <c r="E21" s="73"/>
      <c r="F21" s="63"/>
      <c r="G21" s="65" t="s">
        <v>141</v>
      </c>
      <c r="H21" s="64">
        <v>25000</v>
      </c>
      <c r="I21" s="113"/>
    </row>
    <row r="22" spans="1:9" ht="18" x14ac:dyDescent="0.35">
      <c r="A22" s="115"/>
      <c r="B22" s="8"/>
      <c r="C22" s="11"/>
      <c r="D22" s="91"/>
      <c r="E22" s="73"/>
      <c r="F22" s="63"/>
      <c r="G22" s="65" t="s">
        <v>80</v>
      </c>
      <c r="H22" s="64">
        <v>400000</v>
      </c>
      <c r="I22" s="113"/>
    </row>
    <row r="23" spans="1:9" ht="18" x14ac:dyDescent="0.35">
      <c r="A23" s="115"/>
      <c r="B23" s="8"/>
      <c r="C23" s="11"/>
      <c r="D23" s="91"/>
      <c r="E23" s="73"/>
      <c r="F23" s="63"/>
      <c r="G23" s="65" t="s">
        <v>166</v>
      </c>
      <c r="H23" s="64">
        <v>800000</v>
      </c>
      <c r="I23" s="113"/>
    </row>
    <row r="24" spans="1:9" ht="18" x14ac:dyDescent="0.35">
      <c r="A24" s="115"/>
      <c r="B24" s="8"/>
      <c r="C24" s="11"/>
      <c r="D24" s="91"/>
      <c r="E24" s="73"/>
      <c r="F24" s="63"/>
      <c r="G24" s="65" t="s">
        <v>167</v>
      </c>
      <c r="H24" s="64">
        <v>150000</v>
      </c>
      <c r="I24" s="113"/>
    </row>
    <row r="25" spans="1:9" ht="18" x14ac:dyDescent="0.35">
      <c r="A25" s="115"/>
      <c r="B25" s="8"/>
      <c r="C25" s="11"/>
      <c r="D25" s="91"/>
      <c r="E25" s="73"/>
      <c r="F25" s="63"/>
      <c r="G25" s="65" t="s">
        <v>91</v>
      </c>
      <c r="H25" s="64">
        <v>284599</v>
      </c>
      <c r="I25" s="113"/>
    </row>
    <row r="26" spans="1:9" ht="18" x14ac:dyDescent="0.35">
      <c r="A26" s="115"/>
      <c r="B26" s="8"/>
      <c r="C26" s="11"/>
      <c r="D26" s="91"/>
      <c r="E26" s="73"/>
      <c r="F26" s="63"/>
      <c r="G26" s="65" t="s">
        <v>169</v>
      </c>
      <c r="H26" s="64">
        <v>500000</v>
      </c>
      <c r="I26" s="113"/>
    </row>
    <row r="27" spans="1:9" ht="18" x14ac:dyDescent="0.35">
      <c r="A27" s="115"/>
      <c r="B27" s="8"/>
      <c r="C27" s="11"/>
      <c r="D27" s="91"/>
      <c r="E27" s="73"/>
      <c r="F27" s="63"/>
      <c r="G27" s="65" t="s">
        <v>97</v>
      </c>
      <c r="H27" s="64">
        <v>200000</v>
      </c>
      <c r="I27" s="113"/>
    </row>
    <row r="28" spans="1:9" ht="18" x14ac:dyDescent="0.35">
      <c r="A28" s="115"/>
      <c r="B28" s="8"/>
      <c r="C28" s="11"/>
      <c r="D28" s="91"/>
      <c r="E28" s="73"/>
      <c r="F28" s="63"/>
      <c r="G28" s="65" t="s">
        <v>170</v>
      </c>
      <c r="H28" s="64">
        <v>235000</v>
      </c>
      <c r="I28" s="113"/>
    </row>
    <row r="29" spans="1:9" ht="18" x14ac:dyDescent="0.35">
      <c r="A29" s="115"/>
      <c r="B29" s="8"/>
      <c r="C29" s="11"/>
      <c r="D29" s="92"/>
      <c r="E29" s="74"/>
      <c r="F29" s="11"/>
      <c r="G29" s="65" t="s">
        <v>67</v>
      </c>
      <c r="H29" s="64">
        <v>700000</v>
      </c>
      <c r="I29" s="116"/>
    </row>
    <row r="30" spans="1:9" ht="18" x14ac:dyDescent="0.35">
      <c r="A30" s="115"/>
      <c r="B30" s="8"/>
      <c r="C30" s="11"/>
      <c r="D30" s="92"/>
      <c r="E30" s="74"/>
      <c r="F30" s="11"/>
      <c r="G30" s="65" t="s">
        <v>171</v>
      </c>
      <c r="H30" s="64">
        <v>1500000</v>
      </c>
      <c r="I30" s="116"/>
    </row>
    <row r="31" spans="1:9" ht="18" x14ac:dyDescent="0.35">
      <c r="A31" s="115"/>
      <c r="B31" s="8"/>
      <c r="C31" s="11"/>
      <c r="D31" s="92"/>
      <c r="E31" s="74"/>
      <c r="F31" s="11"/>
      <c r="G31" s="67" t="s">
        <v>99</v>
      </c>
      <c r="H31" s="64">
        <v>400000</v>
      </c>
      <c r="I31" s="116"/>
    </row>
    <row r="32" spans="1:9" ht="18" x14ac:dyDescent="0.35">
      <c r="A32" s="115"/>
      <c r="B32" s="8"/>
      <c r="C32" s="11"/>
      <c r="D32" s="92"/>
      <c r="E32" s="74"/>
      <c r="F32" s="11"/>
      <c r="G32" s="67" t="s">
        <v>175</v>
      </c>
      <c r="H32" s="64">
        <v>700000</v>
      </c>
      <c r="I32" s="116"/>
    </row>
    <row r="33" spans="1:9" ht="18" x14ac:dyDescent="0.35">
      <c r="A33" s="115"/>
      <c r="B33" s="8"/>
      <c r="C33" s="11"/>
      <c r="D33" s="92"/>
      <c r="E33" s="74"/>
      <c r="F33" s="11"/>
      <c r="G33" s="65"/>
      <c r="H33" s="64"/>
      <c r="I33" s="116"/>
    </row>
    <row r="34" spans="1:9" ht="18" x14ac:dyDescent="0.35">
      <c r="A34" s="115"/>
      <c r="B34" s="8"/>
      <c r="C34" s="11"/>
      <c r="D34" s="92"/>
      <c r="E34" s="74"/>
      <c r="F34" s="11"/>
      <c r="G34" s="65"/>
      <c r="H34" s="64"/>
      <c r="I34" s="116"/>
    </row>
    <row r="35" spans="1:9" ht="18" x14ac:dyDescent="0.35">
      <c r="A35" s="115"/>
      <c r="B35" s="8"/>
      <c r="C35" s="11"/>
      <c r="D35" s="92"/>
      <c r="E35" s="74"/>
      <c r="F35" s="11"/>
      <c r="G35" s="65"/>
      <c r="H35" s="64"/>
      <c r="I35" s="116"/>
    </row>
    <row r="36" spans="1:9" x14ac:dyDescent="0.3">
      <c r="A36" s="115"/>
      <c r="B36" s="8"/>
      <c r="C36" s="11"/>
      <c r="D36" s="92"/>
      <c r="E36" s="74"/>
      <c r="F36" s="11"/>
      <c r="G36" s="10"/>
      <c r="H36" s="8"/>
      <c r="I36" s="116"/>
    </row>
    <row r="37" spans="1:9" x14ac:dyDescent="0.3">
      <c r="A37" s="117" t="s">
        <v>15</v>
      </c>
      <c r="B37" s="8">
        <f>SUM(B12:B36)</f>
        <v>1100000</v>
      </c>
      <c r="C37" s="11"/>
      <c r="D37" s="93" t="s">
        <v>15</v>
      </c>
      <c r="E37" s="74">
        <f>SUM(E12:E36)</f>
        <v>1300000</v>
      </c>
      <c r="F37" s="11"/>
      <c r="G37" s="12" t="s">
        <v>15</v>
      </c>
      <c r="H37" s="8">
        <f>SUM(H12:H36)</f>
        <v>7633479</v>
      </c>
      <c r="I37" s="116"/>
    </row>
    <row r="38" spans="1:9" ht="15" thickBot="1" x14ac:dyDescent="0.35">
      <c r="A38" s="118"/>
      <c r="B38" s="13"/>
      <c r="C38" s="14"/>
      <c r="D38" s="94"/>
      <c r="E38" s="75"/>
      <c r="F38" s="14"/>
      <c r="G38" s="13"/>
      <c r="H38" s="13"/>
      <c r="I38" s="119"/>
    </row>
    <row r="39" spans="1:9" ht="21" thickBot="1" x14ac:dyDescent="0.35">
      <c r="A39" s="164" t="s">
        <v>16</v>
      </c>
      <c r="B39" s="165"/>
      <c r="C39" s="165"/>
      <c r="D39" s="165"/>
      <c r="E39" s="165"/>
      <c r="F39" s="165"/>
      <c r="G39" s="165"/>
      <c r="H39" s="165"/>
      <c r="I39" s="166"/>
    </row>
    <row r="40" spans="1:9" x14ac:dyDescent="0.3">
      <c r="A40" s="159" t="s">
        <v>17</v>
      </c>
      <c r="B40" s="160"/>
      <c r="C40" s="161"/>
      <c r="D40" s="162" t="s">
        <v>18</v>
      </c>
      <c r="E40" s="160"/>
      <c r="F40" s="160"/>
      <c r="G40" s="160"/>
      <c r="H40" s="160"/>
      <c r="I40" s="163"/>
    </row>
    <row r="41" spans="1:9" x14ac:dyDescent="0.3">
      <c r="A41" s="110" t="s">
        <v>13</v>
      </c>
      <c r="B41" s="139" t="s">
        <v>19</v>
      </c>
      <c r="C41" s="140"/>
      <c r="D41" s="90" t="s">
        <v>13</v>
      </c>
      <c r="E41" s="139" t="s">
        <v>19</v>
      </c>
      <c r="F41" s="140"/>
      <c r="G41" s="7" t="s">
        <v>13</v>
      </c>
      <c r="H41" s="139" t="s">
        <v>19</v>
      </c>
      <c r="I41" s="141"/>
    </row>
    <row r="42" spans="1:9" x14ac:dyDescent="0.3">
      <c r="A42" s="120" t="s">
        <v>20</v>
      </c>
      <c r="B42" s="15"/>
      <c r="C42" s="9"/>
      <c r="D42" s="95" t="s">
        <v>21</v>
      </c>
      <c r="E42" s="76"/>
      <c r="F42" s="9"/>
      <c r="G42" s="16" t="s">
        <v>22</v>
      </c>
      <c r="H42" s="17"/>
      <c r="I42" s="121"/>
    </row>
    <row r="43" spans="1:9" x14ac:dyDescent="0.3">
      <c r="A43" s="115" t="s">
        <v>146</v>
      </c>
      <c r="B43" s="18">
        <v>1</v>
      </c>
      <c r="C43" s="9"/>
      <c r="D43" s="92" t="s">
        <v>164</v>
      </c>
      <c r="E43" s="25">
        <v>2</v>
      </c>
      <c r="F43" s="9"/>
      <c r="G43" s="21" t="s">
        <v>123</v>
      </c>
      <c r="H43" s="17">
        <v>3</v>
      </c>
      <c r="I43" s="121"/>
    </row>
    <row r="44" spans="1:9" x14ac:dyDescent="0.3">
      <c r="A44" s="115" t="s">
        <v>147</v>
      </c>
      <c r="B44" s="20">
        <v>1</v>
      </c>
      <c r="C44" s="11"/>
      <c r="D44" s="92" t="s">
        <v>60</v>
      </c>
      <c r="E44" s="25">
        <v>2</v>
      </c>
      <c r="F44" s="11"/>
      <c r="G44" s="21" t="s">
        <v>164</v>
      </c>
      <c r="H44" s="17">
        <v>2</v>
      </c>
      <c r="I44" s="116"/>
    </row>
    <row r="45" spans="1:9" x14ac:dyDescent="0.3">
      <c r="A45" s="115" t="s">
        <v>148</v>
      </c>
      <c r="B45" s="17"/>
      <c r="C45" s="11"/>
      <c r="D45" s="92" t="s">
        <v>61</v>
      </c>
      <c r="E45" s="25">
        <v>1</v>
      </c>
      <c r="F45" s="11"/>
      <c r="G45" s="21" t="s">
        <v>63</v>
      </c>
      <c r="H45" s="17">
        <v>2</v>
      </c>
      <c r="I45" s="116"/>
    </row>
    <row r="46" spans="1:9" x14ac:dyDescent="0.3">
      <c r="A46" s="115" t="s">
        <v>149</v>
      </c>
      <c r="B46" s="20"/>
      <c r="C46" s="11"/>
      <c r="D46" s="92" t="s">
        <v>75</v>
      </c>
      <c r="E46" s="25">
        <v>1</v>
      </c>
      <c r="F46" s="11"/>
      <c r="G46" s="21" t="s">
        <v>61</v>
      </c>
      <c r="H46" s="17">
        <v>2</v>
      </c>
      <c r="I46" s="116"/>
    </row>
    <row r="47" spans="1:9" x14ac:dyDescent="0.3">
      <c r="A47" s="115" t="s">
        <v>162</v>
      </c>
      <c r="B47" s="17">
        <v>1</v>
      </c>
      <c r="C47" s="11"/>
      <c r="D47" s="92" t="s">
        <v>62</v>
      </c>
      <c r="E47" s="25">
        <v>2</v>
      </c>
      <c r="F47" s="11"/>
      <c r="G47" s="21" t="s">
        <v>75</v>
      </c>
      <c r="H47" s="17">
        <v>2</v>
      </c>
      <c r="I47" s="116"/>
    </row>
    <row r="48" spans="1:9" x14ac:dyDescent="0.3">
      <c r="A48" s="115" t="s">
        <v>153</v>
      </c>
      <c r="B48" s="17"/>
      <c r="C48" s="11"/>
      <c r="D48" s="92" t="s">
        <v>165</v>
      </c>
      <c r="E48" s="25">
        <v>1</v>
      </c>
      <c r="F48" s="11"/>
      <c r="G48" s="21" t="s">
        <v>60</v>
      </c>
      <c r="H48" s="17">
        <v>2</v>
      </c>
      <c r="I48" s="116"/>
    </row>
    <row r="49" spans="1:15" x14ac:dyDescent="0.3">
      <c r="A49" s="115"/>
      <c r="B49" s="17"/>
      <c r="C49" s="11"/>
      <c r="D49" s="96"/>
      <c r="E49" s="25"/>
      <c r="F49" s="11"/>
      <c r="G49" s="21" t="s">
        <v>134</v>
      </c>
      <c r="H49" s="17" t="s">
        <v>161</v>
      </c>
      <c r="I49" s="116"/>
    </row>
    <row r="50" spans="1:15" x14ac:dyDescent="0.3">
      <c r="A50" s="115"/>
      <c r="B50" s="17"/>
      <c r="C50" s="11"/>
      <c r="D50" s="97"/>
      <c r="E50" s="77"/>
      <c r="F50" s="11"/>
      <c r="G50" s="21" t="s">
        <v>133</v>
      </c>
      <c r="H50" s="17" t="s">
        <v>161</v>
      </c>
      <c r="I50" s="116"/>
    </row>
    <row r="51" spans="1:15" x14ac:dyDescent="0.3">
      <c r="A51" s="115"/>
      <c r="B51" s="17"/>
      <c r="C51" s="11"/>
      <c r="D51" s="98"/>
      <c r="E51" s="77"/>
      <c r="F51" s="11"/>
      <c r="G51" s="21" t="s">
        <v>176</v>
      </c>
      <c r="H51" s="17" t="s">
        <v>177</v>
      </c>
      <c r="I51" s="116"/>
    </row>
    <row r="52" spans="1:15" x14ac:dyDescent="0.3">
      <c r="A52" s="115"/>
      <c r="B52" s="17"/>
      <c r="C52" s="23"/>
      <c r="D52" s="24"/>
      <c r="E52" s="25"/>
      <c r="F52" s="11"/>
      <c r="G52" s="19"/>
      <c r="H52" s="17"/>
      <c r="I52" s="116"/>
    </row>
    <row r="53" spans="1:15" x14ac:dyDescent="0.3">
      <c r="A53" s="115"/>
      <c r="B53" s="17"/>
      <c r="C53" s="11"/>
      <c r="D53" s="99"/>
      <c r="E53" s="77"/>
      <c r="F53" s="11"/>
      <c r="G53" s="19"/>
      <c r="H53" s="17"/>
      <c r="I53" s="116"/>
    </row>
    <row r="54" spans="1:15" x14ac:dyDescent="0.3">
      <c r="A54" s="115"/>
      <c r="B54" s="17"/>
      <c r="C54" s="11"/>
      <c r="D54" s="100"/>
      <c r="E54" s="77"/>
      <c r="F54" s="11"/>
      <c r="G54" s="19"/>
      <c r="H54" s="17"/>
      <c r="I54" s="116"/>
    </row>
    <row r="55" spans="1:15" x14ac:dyDescent="0.3">
      <c r="A55" s="115"/>
      <c r="B55" s="17"/>
      <c r="C55" s="11"/>
      <c r="D55" s="101"/>
      <c r="E55" s="30"/>
      <c r="F55" s="11"/>
      <c r="G55" s="26"/>
      <c r="H55" s="17"/>
      <c r="I55" s="116"/>
    </row>
    <row r="56" spans="1:15" x14ac:dyDescent="0.3">
      <c r="A56" s="118"/>
      <c r="B56" s="27"/>
      <c r="C56" s="14"/>
      <c r="D56" s="102"/>
      <c r="E56" s="30"/>
      <c r="F56" s="11"/>
      <c r="G56" s="28"/>
      <c r="H56" s="29"/>
      <c r="I56" s="116"/>
      <c r="O56" t="s">
        <v>25</v>
      </c>
    </row>
    <row r="57" spans="1:15" x14ac:dyDescent="0.3">
      <c r="A57" s="173" t="s">
        <v>24</v>
      </c>
      <c r="B57" s="171"/>
      <c r="C57" s="174"/>
      <c r="D57" s="54" t="s">
        <v>23</v>
      </c>
      <c r="E57" s="30"/>
      <c r="F57" s="11"/>
      <c r="G57" s="31"/>
      <c r="H57" s="29"/>
      <c r="I57" s="116"/>
    </row>
    <row r="58" spans="1:15" x14ac:dyDescent="0.3">
      <c r="A58" s="122" t="s">
        <v>39</v>
      </c>
      <c r="B58" s="29"/>
      <c r="C58" s="32"/>
      <c r="D58" s="66" t="s">
        <v>41</v>
      </c>
      <c r="E58" s="30"/>
      <c r="F58" s="23"/>
      <c r="G58" s="33" t="s">
        <v>23</v>
      </c>
      <c r="H58" s="34"/>
      <c r="I58" s="116"/>
    </row>
    <row r="59" spans="1:15" x14ac:dyDescent="0.3">
      <c r="A59" s="123" t="s">
        <v>160</v>
      </c>
      <c r="B59" s="29" t="s">
        <v>161</v>
      </c>
      <c r="C59" s="11"/>
      <c r="D59" s="103" t="s">
        <v>154</v>
      </c>
      <c r="E59" s="30"/>
      <c r="F59" s="35"/>
      <c r="G59" s="15" t="s">
        <v>55</v>
      </c>
      <c r="H59" s="36">
        <v>2</v>
      </c>
      <c r="I59" s="116"/>
    </row>
    <row r="60" spans="1:15" x14ac:dyDescent="0.3">
      <c r="A60" s="124"/>
      <c r="B60" s="29"/>
      <c r="C60" s="11"/>
      <c r="D60" s="92" t="s">
        <v>68</v>
      </c>
      <c r="E60" s="30"/>
      <c r="F60" s="35"/>
      <c r="G60" s="10" t="s">
        <v>56</v>
      </c>
      <c r="H60" s="36">
        <v>5</v>
      </c>
      <c r="I60" s="116"/>
    </row>
    <row r="61" spans="1:15" x14ac:dyDescent="0.3">
      <c r="A61" s="125"/>
      <c r="B61" s="29"/>
      <c r="C61" s="11"/>
      <c r="D61" s="92" t="s">
        <v>43</v>
      </c>
      <c r="E61" s="30"/>
      <c r="F61" s="35"/>
      <c r="G61" s="10" t="s">
        <v>57</v>
      </c>
      <c r="H61" s="36">
        <v>2</v>
      </c>
      <c r="I61" s="116"/>
    </row>
    <row r="62" spans="1:15" x14ac:dyDescent="0.3">
      <c r="A62" s="122" t="s">
        <v>40</v>
      </c>
      <c r="B62" s="29"/>
      <c r="C62" s="11"/>
      <c r="D62" s="92" t="s">
        <v>53</v>
      </c>
      <c r="E62" s="30"/>
      <c r="F62" s="35"/>
      <c r="G62" s="13" t="s">
        <v>58</v>
      </c>
      <c r="H62" s="36">
        <v>2</v>
      </c>
      <c r="I62" s="116"/>
    </row>
    <row r="63" spans="1:15" x14ac:dyDescent="0.3">
      <c r="A63" s="123" t="s">
        <v>142</v>
      </c>
      <c r="B63" s="29" t="s">
        <v>143</v>
      </c>
      <c r="C63" s="11"/>
      <c r="D63" s="92" t="s">
        <v>155</v>
      </c>
      <c r="E63" s="78"/>
      <c r="F63" s="35"/>
      <c r="G63" s="136" t="s">
        <v>134</v>
      </c>
      <c r="H63" s="38">
        <v>1</v>
      </c>
      <c r="I63" s="116"/>
    </row>
    <row r="64" spans="1:15" x14ac:dyDescent="0.3">
      <c r="A64" s="123" t="s">
        <v>144</v>
      </c>
      <c r="B64" s="29" t="s">
        <v>143</v>
      </c>
      <c r="C64" s="11"/>
      <c r="D64" s="92" t="s">
        <v>47</v>
      </c>
      <c r="E64" s="78"/>
      <c r="F64" s="61"/>
      <c r="G64" s="136"/>
      <c r="H64" s="38"/>
      <c r="I64" s="116"/>
    </row>
    <row r="65" spans="1:12" x14ac:dyDescent="0.3">
      <c r="A65" s="115"/>
      <c r="B65" s="17"/>
      <c r="C65" s="11"/>
      <c r="D65" s="92" t="s">
        <v>44</v>
      </c>
      <c r="E65" s="79"/>
      <c r="F65" s="37"/>
      <c r="G65" s="22"/>
      <c r="H65" s="38"/>
      <c r="I65" s="116"/>
    </row>
    <row r="66" spans="1:12" x14ac:dyDescent="0.3">
      <c r="A66" s="115"/>
      <c r="B66" s="17"/>
      <c r="C66" s="11"/>
      <c r="D66" s="92" t="s">
        <v>45</v>
      </c>
      <c r="E66" s="79"/>
      <c r="F66" s="37"/>
      <c r="G66" s="39" t="s">
        <v>38</v>
      </c>
      <c r="H66" s="38"/>
      <c r="I66" s="116"/>
    </row>
    <row r="67" spans="1:12" x14ac:dyDescent="0.3">
      <c r="A67" s="118"/>
      <c r="B67" s="13"/>
      <c r="C67" s="14"/>
      <c r="D67" s="92" t="s">
        <v>48</v>
      </c>
      <c r="E67" s="79"/>
      <c r="F67" s="40"/>
      <c r="G67" s="137"/>
      <c r="H67" s="34"/>
      <c r="I67" s="119"/>
    </row>
    <row r="68" spans="1:12" x14ac:dyDescent="0.3">
      <c r="A68" s="118"/>
      <c r="B68" s="13"/>
      <c r="C68" s="14"/>
      <c r="D68" s="92" t="s">
        <v>83</v>
      </c>
      <c r="E68" s="79"/>
      <c r="F68" s="40"/>
      <c r="G68" s="136"/>
      <c r="H68" s="38"/>
      <c r="I68" s="119"/>
    </row>
    <row r="69" spans="1:12" x14ac:dyDescent="0.3">
      <c r="A69" s="118"/>
      <c r="B69" s="13"/>
      <c r="C69" s="14"/>
      <c r="D69" s="92" t="s">
        <v>174</v>
      </c>
      <c r="E69" s="80"/>
      <c r="F69" s="40"/>
      <c r="G69" s="24"/>
      <c r="H69" s="38"/>
      <c r="I69" s="119"/>
    </row>
    <row r="70" spans="1:12" x14ac:dyDescent="0.3">
      <c r="A70" s="118"/>
      <c r="B70" s="31" t="s">
        <v>25</v>
      </c>
      <c r="C70" s="14"/>
      <c r="D70" s="92" t="s">
        <v>50</v>
      </c>
      <c r="E70" s="81"/>
      <c r="F70" s="40"/>
      <c r="G70" s="41"/>
      <c r="H70" s="38"/>
      <c r="I70" s="119"/>
    </row>
    <row r="71" spans="1:12" ht="15.6" x14ac:dyDescent="0.3">
      <c r="A71" s="118"/>
      <c r="B71" s="13"/>
      <c r="C71" s="14"/>
      <c r="D71" s="91" t="s">
        <v>156</v>
      </c>
      <c r="E71" s="77"/>
      <c r="F71" s="40"/>
      <c r="G71" s="55" t="s">
        <v>22</v>
      </c>
      <c r="H71" s="42"/>
      <c r="I71" s="119"/>
    </row>
    <row r="72" spans="1:12" ht="15.6" x14ac:dyDescent="0.3">
      <c r="A72" s="118"/>
      <c r="B72" s="13"/>
      <c r="C72" s="14"/>
      <c r="D72" s="91" t="s">
        <v>49</v>
      </c>
      <c r="E72" s="82"/>
      <c r="F72" s="43"/>
      <c r="G72" s="56"/>
      <c r="H72" s="57"/>
      <c r="I72" s="119"/>
    </row>
    <row r="73" spans="1:12" ht="15.6" x14ac:dyDescent="0.3">
      <c r="A73" s="118"/>
      <c r="B73" s="13"/>
      <c r="C73" s="14"/>
      <c r="D73" s="91" t="s">
        <v>157</v>
      </c>
      <c r="E73" s="83"/>
      <c r="F73" s="43"/>
      <c r="G73" s="58"/>
      <c r="H73" s="57"/>
      <c r="I73" s="119"/>
    </row>
    <row r="74" spans="1:12" ht="16.2" thickBot="1" x14ac:dyDescent="0.35">
      <c r="A74" s="126"/>
      <c r="B74" s="44"/>
      <c r="C74" s="45"/>
      <c r="D74" s="91"/>
      <c r="E74" s="77"/>
      <c r="F74" s="46"/>
      <c r="G74" s="47"/>
      <c r="H74" s="48"/>
      <c r="I74" s="127"/>
      <c r="L74" t="s">
        <v>25</v>
      </c>
    </row>
    <row r="75" spans="1:12" x14ac:dyDescent="0.3">
      <c r="A75" s="128"/>
      <c r="B75" s="49"/>
      <c r="C75" s="50"/>
      <c r="D75" s="104"/>
      <c r="E75" s="49"/>
      <c r="F75" s="50"/>
      <c r="G75" s="51"/>
      <c r="H75" s="49"/>
      <c r="I75" s="129"/>
    </row>
    <row r="76" spans="1:12" ht="18" x14ac:dyDescent="0.3">
      <c r="A76" s="130" t="s">
        <v>26</v>
      </c>
      <c r="B76" s="175">
        <f>B37+E37+H37</f>
        <v>10033479</v>
      </c>
      <c r="C76" s="176"/>
      <c r="D76" s="177"/>
      <c r="E76" s="84"/>
      <c r="F76" s="52" t="s">
        <v>27</v>
      </c>
      <c r="G76" s="170" t="s">
        <v>28</v>
      </c>
      <c r="H76" s="171"/>
      <c r="I76" s="172"/>
    </row>
    <row r="77" spans="1:12" ht="18" x14ac:dyDescent="0.3">
      <c r="A77" s="130" t="s">
        <v>29</v>
      </c>
      <c r="B77" s="167"/>
      <c r="C77" s="168"/>
      <c r="D77" s="169"/>
      <c r="E77" s="85"/>
      <c r="F77" s="52" t="s">
        <v>30</v>
      </c>
      <c r="G77" s="170" t="s">
        <v>31</v>
      </c>
      <c r="H77" s="171"/>
      <c r="I77" s="172"/>
    </row>
    <row r="78" spans="1:12" ht="18" x14ac:dyDescent="0.3">
      <c r="A78" s="130" t="s">
        <v>32</v>
      </c>
      <c r="B78" s="167"/>
      <c r="C78" s="168"/>
      <c r="D78" s="169"/>
      <c r="E78" s="86"/>
      <c r="F78" s="52" t="s">
        <v>33</v>
      </c>
      <c r="G78" s="170" t="s">
        <v>34</v>
      </c>
      <c r="H78" s="171"/>
      <c r="I78" s="172"/>
    </row>
    <row r="79" spans="1:12" ht="18" x14ac:dyDescent="0.3">
      <c r="A79" s="130" t="s">
        <v>35</v>
      </c>
      <c r="B79" s="167"/>
      <c r="C79" s="168"/>
      <c r="D79" s="169"/>
      <c r="E79" s="87"/>
      <c r="F79" s="53" t="s">
        <v>36</v>
      </c>
      <c r="G79" s="170" t="s">
        <v>37</v>
      </c>
      <c r="H79" s="171"/>
      <c r="I79" s="172"/>
    </row>
    <row r="80" spans="1:12" ht="15" thickBot="1" x14ac:dyDescent="0.35">
      <c r="A80" s="131"/>
      <c r="B80" s="132"/>
      <c r="C80" s="133"/>
      <c r="D80" s="134"/>
      <c r="E80" s="132"/>
      <c r="F80" s="133"/>
      <c r="G80" s="132"/>
      <c r="H80" s="132"/>
      <c r="I80" s="135"/>
    </row>
  </sheetData>
  <mergeCells count="29">
    <mergeCell ref="B11:C11"/>
    <mergeCell ref="E11:F11"/>
    <mergeCell ref="H11:I11"/>
    <mergeCell ref="A1:I1"/>
    <mergeCell ref="H2:I2"/>
    <mergeCell ref="G3:G5"/>
    <mergeCell ref="H3:I5"/>
    <mergeCell ref="H6:I6"/>
    <mergeCell ref="H7:I7"/>
    <mergeCell ref="H8:I8"/>
    <mergeCell ref="A9:I9"/>
    <mergeCell ref="A10:C10"/>
    <mergeCell ref="D10:F10"/>
    <mergeCell ref="G10:I10"/>
    <mergeCell ref="A39:I39"/>
    <mergeCell ref="A40:C40"/>
    <mergeCell ref="D40:I40"/>
    <mergeCell ref="B41:C41"/>
    <mergeCell ref="E41:F41"/>
    <mergeCell ref="H41:I41"/>
    <mergeCell ref="B79:D79"/>
    <mergeCell ref="G79:I79"/>
    <mergeCell ref="A57:C57"/>
    <mergeCell ref="B76:D76"/>
    <mergeCell ref="G76:I76"/>
    <mergeCell ref="B77:D77"/>
    <mergeCell ref="G77:I77"/>
    <mergeCell ref="B78:D78"/>
    <mergeCell ref="G78:I78"/>
  </mergeCells>
  <pageMargins left="0.23622047244094488" right="0" top="0.74803149606299213" bottom="0" header="0.31496062992125984" footer="0.31496062992125984"/>
  <pageSetup paperSize="9" scale="60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0F2D-8B5E-45FB-BAB3-4F57B6A9614C}">
  <sheetPr>
    <pageSetUpPr fitToPage="1"/>
  </sheetPr>
  <dimension ref="A1:I80"/>
  <sheetViews>
    <sheetView tabSelected="1" zoomScaleNormal="100" workbookViewId="0">
      <selection activeCell="Q11" sqref="Q11"/>
    </sheetView>
  </sheetViews>
  <sheetFormatPr defaultRowHeight="14.4" x14ac:dyDescent="0.3"/>
  <cols>
    <col min="1" max="1" width="25.44140625" bestFit="1" customWidth="1"/>
    <col min="2" max="2" width="20.21875" customWidth="1"/>
    <col min="3" max="3" width="2.6640625" customWidth="1"/>
    <col min="4" max="4" width="21.6640625" customWidth="1"/>
    <col min="5" max="5" width="15.77734375" bestFit="1" customWidth="1"/>
    <col min="6" max="6" width="2.44140625" customWidth="1"/>
    <col min="7" max="7" width="33.21875" bestFit="1" customWidth="1"/>
    <col min="8" max="8" width="22.109375" customWidth="1"/>
    <col min="9" max="9" width="4.77734375" customWidth="1"/>
  </cols>
  <sheetData>
    <row r="1" spans="1:9" ht="34.799999999999997" x14ac:dyDescent="0.3">
      <c r="A1" s="142" t="s">
        <v>0</v>
      </c>
      <c r="B1" s="143"/>
      <c r="C1" s="143"/>
      <c r="D1" s="143"/>
      <c r="E1" s="143"/>
      <c r="F1" s="143"/>
      <c r="G1" s="143"/>
      <c r="H1" s="143"/>
      <c r="I1" s="144"/>
    </row>
    <row r="2" spans="1:9" x14ac:dyDescent="0.3">
      <c r="A2" s="108"/>
      <c r="B2" s="68"/>
      <c r="C2" s="69"/>
      <c r="D2" s="68"/>
      <c r="E2" s="68"/>
      <c r="F2" s="69"/>
      <c r="G2" s="1" t="s">
        <v>1</v>
      </c>
      <c r="H2" s="145" t="s">
        <v>2</v>
      </c>
      <c r="I2" s="146"/>
    </row>
    <row r="3" spans="1:9" x14ac:dyDescent="0.3">
      <c r="A3" s="108" t="s">
        <v>3</v>
      </c>
      <c r="B3" s="70" t="s">
        <v>4</v>
      </c>
      <c r="C3" s="69"/>
      <c r="D3" s="68"/>
      <c r="E3" s="68"/>
      <c r="F3" s="69"/>
      <c r="G3" s="147" t="s">
        <v>173</v>
      </c>
      <c r="H3" s="148" t="s">
        <v>5</v>
      </c>
      <c r="I3" s="149"/>
    </row>
    <row r="4" spans="1:9" x14ac:dyDescent="0.3">
      <c r="A4" s="108" t="s">
        <v>6</v>
      </c>
      <c r="B4" s="71" t="s">
        <v>71</v>
      </c>
      <c r="C4" s="69"/>
      <c r="D4" s="68"/>
      <c r="E4" s="68"/>
      <c r="F4" s="69"/>
      <c r="G4" s="147"/>
      <c r="H4" s="148"/>
      <c r="I4" s="149"/>
    </row>
    <row r="5" spans="1:9" x14ac:dyDescent="0.3">
      <c r="A5" s="108" t="s">
        <v>7</v>
      </c>
      <c r="B5" s="70" t="s">
        <v>178</v>
      </c>
      <c r="C5" s="69"/>
      <c r="D5" s="68"/>
      <c r="E5" s="68"/>
      <c r="F5" s="69"/>
      <c r="G5" s="147"/>
      <c r="H5" s="148"/>
      <c r="I5" s="149"/>
    </row>
    <row r="6" spans="1:9" x14ac:dyDescent="0.3">
      <c r="A6" s="108"/>
      <c r="B6" s="72"/>
      <c r="C6" s="69"/>
      <c r="D6" s="68"/>
      <c r="E6" s="68"/>
      <c r="F6" s="69"/>
      <c r="G6" s="2"/>
      <c r="H6" s="150"/>
      <c r="I6" s="151"/>
    </row>
    <row r="7" spans="1:9" x14ac:dyDescent="0.3">
      <c r="A7" s="108"/>
      <c r="B7" s="72"/>
      <c r="C7" s="69"/>
      <c r="D7" s="68"/>
      <c r="E7" s="68"/>
      <c r="F7" s="69"/>
      <c r="G7" s="3" t="s">
        <v>8</v>
      </c>
      <c r="H7" s="152" t="s">
        <v>8</v>
      </c>
      <c r="I7" s="153"/>
    </row>
    <row r="8" spans="1:9" ht="15" thickBot="1" x14ac:dyDescent="0.35">
      <c r="A8" s="109"/>
      <c r="B8" s="4"/>
      <c r="C8" s="5"/>
      <c r="D8" s="4"/>
      <c r="E8" s="138"/>
      <c r="F8" s="5"/>
      <c r="G8" s="6"/>
      <c r="H8" s="154"/>
      <c r="I8" s="155"/>
    </row>
    <row r="9" spans="1:9" ht="21" thickBot="1" x14ac:dyDescent="0.35">
      <c r="A9" s="156" t="s">
        <v>9</v>
      </c>
      <c r="B9" s="157"/>
      <c r="C9" s="157"/>
      <c r="D9" s="157"/>
      <c r="E9" s="178"/>
      <c r="F9" s="157"/>
      <c r="G9" s="157"/>
      <c r="H9" s="157"/>
      <c r="I9" s="158"/>
    </row>
    <row r="10" spans="1:9" x14ac:dyDescent="0.3">
      <c r="A10" s="159" t="s">
        <v>10</v>
      </c>
      <c r="B10" s="160"/>
      <c r="C10" s="161"/>
      <c r="D10" s="162" t="s">
        <v>11</v>
      </c>
      <c r="E10" s="160"/>
      <c r="F10" s="161"/>
      <c r="G10" s="162" t="s">
        <v>12</v>
      </c>
      <c r="H10" s="160"/>
      <c r="I10" s="163"/>
    </row>
    <row r="11" spans="1:9" x14ac:dyDescent="0.3">
      <c r="A11" s="110" t="s">
        <v>13</v>
      </c>
      <c r="B11" s="139" t="s">
        <v>14</v>
      </c>
      <c r="C11" s="140"/>
      <c r="D11" s="90" t="s">
        <v>13</v>
      </c>
      <c r="E11" s="139" t="s">
        <v>14</v>
      </c>
      <c r="F11" s="140"/>
      <c r="G11" s="7" t="s">
        <v>13</v>
      </c>
      <c r="H11" s="139" t="s">
        <v>14</v>
      </c>
      <c r="I11" s="141"/>
    </row>
    <row r="12" spans="1:9" ht="18" x14ac:dyDescent="0.35">
      <c r="A12" s="111"/>
      <c r="B12" s="64"/>
      <c r="C12" s="9"/>
      <c r="D12" s="107"/>
      <c r="E12" s="106"/>
      <c r="F12" s="62"/>
      <c r="G12" s="65"/>
      <c r="H12" s="64"/>
      <c r="I12" s="112"/>
    </row>
    <row r="13" spans="1:9" ht="18" x14ac:dyDescent="0.35">
      <c r="A13" s="111"/>
      <c r="B13" s="64"/>
      <c r="C13" s="11"/>
      <c r="D13" s="107"/>
      <c r="E13" s="106"/>
      <c r="F13" s="63"/>
      <c r="G13" s="107"/>
      <c r="H13" s="106"/>
      <c r="I13" s="113"/>
    </row>
    <row r="14" spans="1:9" ht="18" x14ac:dyDescent="0.35">
      <c r="A14" s="111"/>
      <c r="B14" s="64"/>
      <c r="C14" s="11"/>
      <c r="D14" s="107"/>
      <c r="E14" s="106"/>
      <c r="F14" s="63"/>
      <c r="G14" s="65"/>
      <c r="H14" s="64"/>
      <c r="I14" s="113"/>
    </row>
    <row r="15" spans="1:9" ht="18" x14ac:dyDescent="0.35">
      <c r="A15" s="111"/>
      <c r="B15" s="64"/>
      <c r="C15" s="11"/>
      <c r="D15" s="107"/>
      <c r="E15" s="106"/>
      <c r="F15" s="63"/>
      <c r="G15" s="65"/>
      <c r="H15" s="64"/>
      <c r="I15" s="113"/>
    </row>
    <row r="16" spans="1:9" ht="18" x14ac:dyDescent="0.35">
      <c r="A16" s="111"/>
      <c r="B16" s="64"/>
      <c r="C16" s="11"/>
      <c r="D16" s="107"/>
      <c r="E16" s="106"/>
      <c r="F16" s="63"/>
      <c r="G16" s="65"/>
      <c r="H16" s="64"/>
      <c r="I16" s="113"/>
    </row>
    <row r="17" spans="1:9" ht="18" x14ac:dyDescent="0.35">
      <c r="A17" s="114"/>
      <c r="B17" s="8"/>
      <c r="C17" s="11"/>
      <c r="D17" s="107"/>
      <c r="E17" s="106"/>
      <c r="F17" s="63"/>
      <c r="G17" s="65"/>
      <c r="H17" s="64"/>
      <c r="I17" s="113"/>
    </row>
    <row r="18" spans="1:9" ht="18" x14ac:dyDescent="0.35">
      <c r="A18" s="115"/>
      <c r="B18" s="8"/>
      <c r="C18" s="11"/>
      <c r="D18" s="107"/>
      <c r="E18" s="106"/>
      <c r="F18" s="63"/>
      <c r="G18" s="65"/>
      <c r="H18" s="64"/>
      <c r="I18" s="113"/>
    </row>
    <row r="19" spans="1:9" ht="18" x14ac:dyDescent="0.35">
      <c r="A19" s="115"/>
      <c r="B19" s="8"/>
      <c r="C19" s="11"/>
      <c r="D19" s="107"/>
      <c r="E19" s="106"/>
      <c r="F19" s="63"/>
      <c r="G19" s="65"/>
      <c r="H19" s="64"/>
      <c r="I19" s="113"/>
    </row>
    <row r="20" spans="1:9" ht="18" x14ac:dyDescent="0.35">
      <c r="A20" s="115"/>
      <c r="B20" s="8"/>
      <c r="C20" s="11"/>
      <c r="D20" s="91"/>
      <c r="E20" s="73"/>
      <c r="F20" s="63"/>
      <c r="G20" s="65"/>
      <c r="H20" s="64"/>
      <c r="I20" s="113"/>
    </row>
    <row r="21" spans="1:9" ht="18" x14ac:dyDescent="0.35">
      <c r="A21" s="115"/>
      <c r="B21" s="8"/>
      <c r="C21" s="11"/>
      <c r="D21" s="91"/>
      <c r="E21" s="73"/>
      <c r="F21" s="63"/>
      <c r="G21" s="65"/>
      <c r="H21" s="64"/>
      <c r="I21" s="113"/>
    </row>
    <row r="22" spans="1:9" ht="18" x14ac:dyDescent="0.35">
      <c r="A22" s="115"/>
      <c r="B22" s="8"/>
      <c r="C22" s="11"/>
      <c r="D22" s="91"/>
      <c r="E22" s="73"/>
      <c r="F22" s="63"/>
      <c r="G22" s="65"/>
      <c r="H22" s="64"/>
      <c r="I22" s="113"/>
    </row>
    <row r="23" spans="1:9" ht="18" x14ac:dyDescent="0.35">
      <c r="A23" s="115"/>
      <c r="B23" s="8"/>
      <c r="C23" s="11"/>
      <c r="D23" s="91"/>
      <c r="E23" s="73"/>
      <c r="F23" s="63"/>
      <c r="G23" s="65"/>
      <c r="H23" s="64"/>
      <c r="I23" s="113"/>
    </row>
    <row r="24" spans="1:9" ht="18" x14ac:dyDescent="0.35">
      <c r="A24" s="115"/>
      <c r="B24" s="8"/>
      <c r="C24" s="11"/>
      <c r="D24" s="91"/>
      <c r="E24" s="73"/>
      <c r="F24" s="63"/>
      <c r="G24" s="65"/>
      <c r="H24" s="64"/>
      <c r="I24" s="113"/>
    </row>
    <row r="25" spans="1:9" ht="18" x14ac:dyDescent="0.35">
      <c r="A25" s="115"/>
      <c r="B25" s="8"/>
      <c r="C25" s="11"/>
      <c r="D25" s="91"/>
      <c r="E25" s="73"/>
      <c r="F25" s="63"/>
      <c r="G25" s="65"/>
      <c r="H25" s="64"/>
      <c r="I25" s="113"/>
    </row>
    <row r="26" spans="1:9" ht="18" x14ac:dyDescent="0.35">
      <c r="A26" s="115"/>
      <c r="B26" s="8"/>
      <c r="C26" s="11"/>
      <c r="D26" s="91"/>
      <c r="E26" s="73"/>
      <c r="F26" s="63"/>
      <c r="G26" s="65"/>
      <c r="H26" s="64"/>
      <c r="I26" s="113"/>
    </row>
    <row r="27" spans="1:9" ht="18" x14ac:dyDescent="0.35">
      <c r="A27" s="115"/>
      <c r="B27" s="8"/>
      <c r="C27" s="11"/>
      <c r="D27" s="91"/>
      <c r="E27" s="73"/>
      <c r="F27" s="63"/>
      <c r="G27" s="65"/>
      <c r="H27" s="64"/>
      <c r="I27" s="113"/>
    </row>
    <row r="28" spans="1:9" ht="18" x14ac:dyDescent="0.35">
      <c r="A28" s="115"/>
      <c r="B28" s="8"/>
      <c r="C28" s="11"/>
      <c r="D28" s="91"/>
      <c r="E28" s="73"/>
      <c r="F28" s="63"/>
      <c r="G28" s="65"/>
      <c r="H28" s="64"/>
      <c r="I28" s="113"/>
    </row>
    <row r="29" spans="1:9" ht="18" x14ac:dyDescent="0.35">
      <c r="A29" s="115"/>
      <c r="B29" s="8"/>
      <c r="C29" s="11"/>
      <c r="D29" s="92"/>
      <c r="E29" s="74"/>
      <c r="F29" s="11"/>
      <c r="G29" s="65"/>
      <c r="H29" s="64"/>
      <c r="I29" s="116"/>
    </row>
    <row r="30" spans="1:9" ht="18" x14ac:dyDescent="0.35">
      <c r="A30" s="115"/>
      <c r="B30" s="8"/>
      <c r="C30" s="11"/>
      <c r="D30" s="92"/>
      <c r="E30" s="74"/>
      <c r="F30" s="11"/>
      <c r="G30" s="65"/>
      <c r="H30" s="64"/>
      <c r="I30" s="116"/>
    </row>
    <row r="31" spans="1:9" ht="18" x14ac:dyDescent="0.35">
      <c r="A31" s="115"/>
      <c r="B31" s="8"/>
      <c r="C31" s="11"/>
      <c r="D31" s="92"/>
      <c r="E31" s="74"/>
      <c r="F31" s="11"/>
      <c r="G31" s="67"/>
      <c r="H31" s="64"/>
      <c r="I31" s="116"/>
    </row>
    <row r="32" spans="1:9" ht="18" x14ac:dyDescent="0.35">
      <c r="A32" s="115"/>
      <c r="B32" s="8"/>
      <c r="C32" s="11"/>
      <c r="D32" s="92"/>
      <c r="E32" s="74"/>
      <c r="F32" s="11"/>
      <c r="G32" s="67"/>
      <c r="H32" s="64"/>
      <c r="I32" s="116"/>
    </row>
    <row r="33" spans="1:9" ht="18" x14ac:dyDescent="0.35">
      <c r="A33" s="115"/>
      <c r="B33" s="8"/>
      <c r="C33" s="11"/>
      <c r="D33" s="92"/>
      <c r="E33" s="74"/>
      <c r="F33" s="11"/>
      <c r="G33" s="65"/>
      <c r="H33" s="64"/>
      <c r="I33" s="116"/>
    </row>
    <row r="34" spans="1:9" ht="18" x14ac:dyDescent="0.35">
      <c r="A34" s="115"/>
      <c r="B34" s="8"/>
      <c r="C34" s="11"/>
      <c r="D34" s="92"/>
      <c r="E34" s="74"/>
      <c r="F34" s="11"/>
      <c r="G34" s="65"/>
      <c r="H34" s="64"/>
      <c r="I34" s="116"/>
    </row>
    <row r="35" spans="1:9" ht="18" x14ac:dyDescent="0.35">
      <c r="A35" s="115"/>
      <c r="B35" s="8"/>
      <c r="C35" s="11"/>
      <c r="D35" s="92"/>
      <c r="E35" s="74"/>
      <c r="F35" s="11"/>
      <c r="G35" s="65"/>
      <c r="H35" s="64"/>
      <c r="I35" s="116"/>
    </row>
    <row r="36" spans="1:9" x14ac:dyDescent="0.3">
      <c r="A36" s="115"/>
      <c r="B36" s="8"/>
      <c r="C36" s="11"/>
      <c r="D36" s="92"/>
      <c r="E36" s="74"/>
      <c r="F36" s="11"/>
      <c r="G36" s="10"/>
      <c r="H36" s="8"/>
      <c r="I36" s="116"/>
    </row>
    <row r="37" spans="1:9" x14ac:dyDescent="0.3">
      <c r="A37" s="117" t="s">
        <v>15</v>
      </c>
      <c r="B37" s="8">
        <f>SUM(B12:B36)</f>
        <v>0</v>
      </c>
      <c r="C37" s="11"/>
      <c r="D37" s="93" t="s">
        <v>15</v>
      </c>
      <c r="E37" s="74">
        <f>SUM(E12:E36)</f>
        <v>0</v>
      </c>
      <c r="F37" s="11"/>
      <c r="G37" s="12" t="s">
        <v>15</v>
      </c>
      <c r="H37" s="8">
        <f>SUM(H12:H36)</f>
        <v>0</v>
      </c>
      <c r="I37" s="116"/>
    </row>
    <row r="38" spans="1:9" ht="15" thickBot="1" x14ac:dyDescent="0.35">
      <c r="A38" s="118"/>
      <c r="B38" s="13"/>
      <c r="C38" s="14"/>
      <c r="D38" s="94"/>
      <c r="E38" s="75"/>
      <c r="F38" s="14"/>
      <c r="G38" s="13"/>
      <c r="H38" s="13"/>
      <c r="I38" s="119"/>
    </row>
    <row r="39" spans="1:9" ht="21" thickBot="1" x14ac:dyDescent="0.35">
      <c r="A39" s="164" t="s">
        <v>16</v>
      </c>
      <c r="B39" s="165"/>
      <c r="C39" s="165"/>
      <c r="D39" s="165"/>
      <c r="E39" s="165"/>
      <c r="F39" s="165"/>
      <c r="G39" s="165"/>
      <c r="H39" s="165"/>
      <c r="I39" s="166"/>
    </row>
    <row r="40" spans="1:9" x14ac:dyDescent="0.3">
      <c r="A40" s="159" t="s">
        <v>17</v>
      </c>
      <c r="B40" s="160"/>
      <c r="C40" s="161"/>
      <c r="D40" s="162" t="s">
        <v>18</v>
      </c>
      <c r="E40" s="160"/>
      <c r="F40" s="160"/>
      <c r="G40" s="160"/>
      <c r="H40" s="160"/>
      <c r="I40" s="163"/>
    </row>
    <row r="41" spans="1:9" x14ac:dyDescent="0.3">
      <c r="A41" s="110" t="s">
        <v>13</v>
      </c>
      <c r="B41" s="139" t="s">
        <v>19</v>
      </c>
      <c r="C41" s="140"/>
      <c r="D41" s="90" t="s">
        <v>13</v>
      </c>
      <c r="E41" s="139" t="s">
        <v>19</v>
      </c>
      <c r="F41" s="140"/>
      <c r="G41" s="7" t="s">
        <v>13</v>
      </c>
      <c r="H41" s="139" t="s">
        <v>19</v>
      </c>
      <c r="I41" s="141"/>
    </row>
    <row r="42" spans="1:9" x14ac:dyDescent="0.3">
      <c r="A42" s="120" t="s">
        <v>20</v>
      </c>
      <c r="B42" s="15"/>
      <c r="C42" s="9"/>
      <c r="D42" s="95" t="s">
        <v>21</v>
      </c>
      <c r="E42" s="76"/>
      <c r="F42" s="9"/>
      <c r="G42" s="16" t="s">
        <v>22</v>
      </c>
      <c r="H42" s="17"/>
      <c r="I42" s="121"/>
    </row>
    <row r="43" spans="1:9" x14ac:dyDescent="0.3">
      <c r="A43" s="115"/>
      <c r="B43" s="18"/>
      <c r="C43" s="9"/>
      <c r="D43" s="92"/>
      <c r="E43" s="25"/>
      <c r="F43" s="9"/>
      <c r="G43" s="21"/>
      <c r="H43" s="17"/>
      <c r="I43" s="121"/>
    </row>
    <row r="44" spans="1:9" x14ac:dyDescent="0.3">
      <c r="A44" s="115"/>
      <c r="B44" s="20"/>
      <c r="C44" s="11"/>
      <c r="D44" s="92"/>
      <c r="E44" s="25"/>
      <c r="F44" s="11"/>
      <c r="G44" s="21"/>
      <c r="H44" s="17"/>
      <c r="I44" s="116"/>
    </row>
    <row r="45" spans="1:9" x14ac:dyDescent="0.3">
      <c r="A45" s="115"/>
      <c r="B45" s="17"/>
      <c r="C45" s="11"/>
      <c r="D45" s="92"/>
      <c r="E45" s="25"/>
      <c r="F45" s="11"/>
      <c r="G45" s="21"/>
      <c r="H45" s="17"/>
      <c r="I45" s="116"/>
    </row>
    <row r="46" spans="1:9" x14ac:dyDescent="0.3">
      <c r="A46" s="115"/>
      <c r="B46" s="20"/>
      <c r="C46" s="11"/>
      <c r="D46" s="92"/>
      <c r="E46" s="25"/>
      <c r="F46" s="11"/>
      <c r="G46" s="21"/>
      <c r="H46" s="17"/>
      <c r="I46" s="116"/>
    </row>
    <row r="47" spans="1:9" x14ac:dyDescent="0.3">
      <c r="A47" s="115"/>
      <c r="B47" s="17"/>
      <c r="C47" s="11"/>
      <c r="D47" s="92"/>
      <c r="E47" s="25"/>
      <c r="F47" s="11"/>
      <c r="G47" s="21"/>
      <c r="H47" s="17"/>
      <c r="I47" s="116"/>
    </row>
    <row r="48" spans="1:9" x14ac:dyDescent="0.3">
      <c r="A48" s="115"/>
      <c r="B48" s="17"/>
      <c r="C48" s="11"/>
      <c r="D48" s="92"/>
      <c r="E48" s="25"/>
      <c r="F48" s="11"/>
      <c r="G48" s="21"/>
      <c r="H48" s="17"/>
      <c r="I48" s="116"/>
    </row>
    <row r="49" spans="1:9" x14ac:dyDescent="0.3">
      <c r="A49" s="115"/>
      <c r="B49" s="17"/>
      <c r="C49" s="11"/>
      <c r="D49" s="96"/>
      <c r="E49" s="25"/>
      <c r="F49" s="11"/>
      <c r="G49" s="21"/>
      <c r="H49" s="17"/>
      <c r="I49" s="116"/>
    </row>
    <row r="50" spans="1:9" x14ac:dyDescent="0.3">
      <c r="A50" s="115"/>
      <c r="B50" s="17"/>
      <c r="C50" s="11"/>
      <c r="D50" s="97"/>
      <c r="E50" s="77"/>
      <c r="F50" s="11"/>
      <c r="G50" s="21"/>
      <c r="H50" s="17"/>
      <c r="I50" s="116"/>
    </row>
    <row r="51" spans="1:9" x14ac:dyDescent="0.3">
      <c r="A51" s="115"/>
      <c r="B51" s="17"/>
      <c r="C51" s="11"/>
      <c r="D51" s="98"/>
      <c r="E51" s="77"/>
      <c r="F51" s="11"/>
      <c r="G51" s="21"/>
      <c r="H51" s="17"/>
      <c r="I51" s="116"/>
    </row>
    <row r="52" spans="1:9" x14ac:dyDescent="0.3">
      <c r="A52" s="115"/>
      <c r="B52" s="17"/>
      <c r="C52" s="23"/>
      <c r="D52" s="24"/>
      <c r="E52" s="25"/>
      <c r="F52" s="11"/>
      <c r="G52" s="19"/>
      <c r="H52" s="17"/>
      <c r="I52" s="116"/>
    </row>
    <row r="53" spans="1:9" x14ac:dyDescent="0.3">
      <c r="A53" s="115"/>
      <c r="B53" s="17"/>
      <c r="C53" s="11"/>
      <c r="D53" s="99"/>
      <c r="E53" s="77"/>
      <c r="F53" s="11"/>
      <c r="G53" s="19"/>
      <c r="H53" s="17"/>
      <c r="I53" s="116"/>
    </row>
    <row r="54" spans="1:9" x14ac:dyDescent="0.3">
      <c r="A54" s="115"/>
      <c r="B54" s="17"/>
      <c r="C54" s="11"/>
      <c r="D54" s="100"/>
      <c r="E54" s="77"/>
      <c r="F54" s="11"/>
      <c r="G54" s="19"/>
      <c r="H54" s="17"/>
      <c r="I54" s="116"/>
    </row>
    <row r="55" spans="1:9" x14ac:dyDescent="0.3">
      <c r="A55" s="115"/>
      <c r="B55" s="17"/>
      <c r="C55" s="11"/>
      <c r="D55" s="101"/>
      <c r="E55" s="30"/>
      <c r="F55" s="11"/>
      <c r="G55" s="26"/>
      <c r="H55" s="17"/>
      <c r="I55" s="116"/>
    </row>
    <row r="56" spans="1:9" x14ac:dyDescent="0.3">
      <c r="A56" s="118"/>
      <c r="B56" s="27"/>
      <c r="C56" s="14"/>
      <c r="D56" s="102"/>
      <c r="E56" s="30"/>
      <c r="F56" s="11"/>
      <c r="G56" s="28"/>
      <c r="H56" s="29"/>
      <c r="I56" s="116"/>
    </row>
    <row r="57" spans="1:9" x14ac:dyDescent="0.3">
      <c r="A57" s="173" t="s">
        <v>24</v>
      </c>
      <c r="B57" s="171"/>
      <c r="C57" s="174"/>
      <c r="D57" s="54" t="s">
        <v>23</v>
      </c>
      <c r="E57" s="30"/>
      <c r="F57" s="11"/>
      <c r="G57" s="31"/>
      <c r="H57" s="29"/>
      <c r="I57" s="116"/>
    </row>
    <row r="58" spans="1:9" x14ac:dyDescent="0.3">
      <c r="A58" s="122" t="s">
        <v>39</v>
      </c>
      <c r="B58" s="29"/>
      <c r="C58" s="32"/>
      <c r="D58" s="66"/>
      <c r="E58" s="30"/>
      <c r="F58" s="23"/>
      <c r="G58" s="33" t="s">
        <v>23</v>
      </c>
      <c r="H58" s="34"/>
      <c r="I58" s="116"/>
    </row>
    <row r="59" spans="1:9" x14ac:dyDescent="0.3">
      <c r="A59" s="123"/>
      <c r="B59" s="29"/>
      <c r="C59" s="11"/>
      <c r="D59" s="103"/>
      <c r="E59" s="30"/>
      <c r="F59" s="35"/>
      <c r="G59" s="15"/>
      <c r="H59" s="36"/>
      <c r="I59" s="116"/>
    </row>
    <row r="60" spans="1:9" x14ac:dyDescent="0.3">
      <c r="A60" s="124"/>
      <c r="B60" s="29"/>
      <c r="C60" s="11"/>
      <c r="D60" s="92"/>
      <c r="E60" s="30"/>
      <c r="F60" s="35"/>
      <c r="G60" s="10"/>
      <c r="H60" s="36"/>
      <c r="I60" s="116"/>
    </row>
    <row r="61" spans="1:9" x14ac:dyDescent="0.3">
      <c r="A61" s="125"/>
      <c r="B61" s="29"/>
      <c r="C61" s="11"/>
      <c r="D61" s="92"/>
      <c r="E61" s="30"/>
      <c r="F61" s="35"/>
      <c r="G61" s="10"/>
      <c r="H61" s="36"/>
      <c r="I61" s="116"/>
    </row>
    <row r="62" spans="1:9" x14ac:dyDescent="0.3">
      <c r="A62" s="122" t="s">
        <v>40</v>
      </c>
      <c r="B62" s="29"/>
      <c r="C62" s="11"/>
      <c r="D62" s="92"/>
      <c r="E62" s="30"/>
      <c r="F62" s="35"/>
      <c r="G62" s="13"/>
      <c r="H62" s="36"/>
      <c r="I62" s="116"/>
    </row>
    <row r="63" spans="1:9" x14ac:dyDescent="0.3">
      <c r="A63" s="123"/>
      <c r="B63" s="29"/>
      <c r="C63" s="11"/>
      <c r="D63" s="92"/>
      <c r="E63" s="78"/>
      <c r="F63" s="35"/>
      <c r="G63" s="136"/>
      <c r="H63" s="38"/>
      <c r="I63" s="116"/>
    </row>
    <row r="64" spans="1:9" x14ac:dyDescent="0.3">
      <c r="A64" s="123"/>
      <c r="B64" s="29"/>
      <c r="C64" s="11"/>
      <c r="D64" s="92"/>
      <c r="E64" s="78"/>
      <c r="F64" s="61"/>
      <c r="G64" s="136"/>
      <c r="H64" s="38"/>
      <c r="I64" s="116"/>
    </row>
    <row r="65" spans="1:9" x14ac:dyDescent="0.3">
      <c r="A65" s="115"/>
      <c r="B65" s="17"/>
      <c r="C65" s="11"/>
      <c r="D65" s="92"/>
      <c r="E65" s="79"/>
      <c r="F65" s="37"/>
      <c r="G65" s="22"/>
      <c r="H65" s="38"/>
      <c r="I65" s="116"/>
    </row>
    <row r="66" spans="1:9" x14ac:dyDescent="0.3">
      <c r="A66" s="115"/>
      <c r="B66" s="17"/>
      <c r="C66" s="11"/>
      <c r="D66" s="92"/>
      <c r="E66" s="79"/>
      <c r="F66" s="37"/>
      <c r="G66" s="39" t="s">
        <v>38</v>
      </c>
      <c r="H66" s="38"/>
      <c r="I66" s="116"/>
    </row>
    <row r="67" spans="1:9" x14ac:dyDescent="0.3">
      <c r="A67" s="118"/>
      <c r="B67" s="13"/>
      <c r="C67" s="14"/>
      <c r="D67" s="92"/>
      <c r="E67" s="79"/>
      <c r="F67" s="40"/>
      <c r="G67" s="137"/>
      <c r="H67" s="34"/>
      <c r="I67" s="119"/>
    </row>
    <row r="68" spans="1:9" x14ac:dyDescent="0.3">
      <c r="A68" s="118"/>
      <c r="B68" s="13"/>
      <c r="C68" s="14"/>
      <c r="D68" s="92"/>
      <c r="E68" s="79"/>
      <c r="F68" s="40"/>
      <c r="G68" s="136"/>
      <c r="H68" s="38"/>
      <c r="I68" s="119"/>
    </row>
    <row r="69" spans="1:9" x14ac:dyDescent="0.3">
      <c r="A69" s="118"/>
      <c r="B69" s="13"/>
      <c r="C69" s="14"/>
      <c r="D69" s="92"/>
      <c r="E69" s="80"/>
      <c r="F69" s="40"/>
      <c r="G69" s="24"/>
      <c r="H69" s="38"/>
      <c r="I69" s="119"/>
    </row>
    <row r="70" spans="1:9" x14ac:dyDescent="0.3">
      <c r="A70" s="118"/>
      <c r="B70" s="31" t="s">
        <v>25</v>
      </c>
      <c r="C70" s="14"/>
      <c r="D70" s="92"/>
      <c r="E70" s="81"/>
      <c r="F70" s="40"/>
      <c r="G70" s="41"/>
      <c r="H70" s="38"/>
      <c r="I70" s="119"/>
    </row>
    <row r="71" spans="1:9" ht="15.6" x14ac:dyDescent="0.3">
      <c r="A71" s="118"/>
      <c r="B71" s="13"/>
      <c r="C71" s="14"/>
      <c r="D71" s="91"/>
      <c r="E71" s="77"/>
      <c r="F71" s="40"/>
      <c r="G71" s="55" t="s">
        <v>22</v>
      </c>
      <c r="H71" s="42"/>
      <c r="I71" s="119"/>
    </row>
    <row r="72" spans="1:9" ht="15.6" x14ac:dyDescent="0.3">
      <c r="A72" s="118"/>
      <c r="B72" s="13"/>
      <c r="C72" s="14"/>
      <c r="D72" s="91"/>
      <c r="E72" s="82"/>
      <c r="F72" s="43"/>
      <c r="G72" s="56"/>
      <c r="H72" s="57"/>
      <c r="I72" s="119"/>
    </row>
    <row r="73" spans="1:9" ht="15.6" x14ac:dyDescent="0.3">
      <c r="A73" s="118"/>
      <c r="B73" s="13"/>
      <c r="C73" s="14"/>
      <c r="D73" s="91"/>
      <c r="E73" s="83"/>
      <c r="F73" s="43"/>
      <c r="G73" s="58"/>
      <c r="H73" s="57"/>
      <c r="I73" s="119"/>
    </row>
    <row r="74" spans="1:9" ht="16.2" thickBot="1" x14ac:dyDescent="0.35">
      <c r="A74" s="126"/>
      <c r="B74" s="44"/>
      <c r="C74" s="45"/>
      <c r="D74" s="91"/>
      <c r="E74" s="77"/>
      <c r="F74" s="46"/>
      <c r="G74" s="47"/>
      <c r="H74" s="48"/>
      <c r="I74" s="127"/>
    </row>
    <row r="75" spans="1:9" x14ac:dyDescent="0.3">
      <c r="A75" s="128"/>
      <c r="B75" s="49"/>
      <c r="C75" s="50"/>
      <c r="D75" s="104"/>
      <c r="E75" s="49"/>
      <c r="F75" s="50"/>
      <c r="G75" s="51"/>
      <c r="H75" s="49"/>
      <c r="I75" s="129"/>
    </row>
    <row r="76" spans="1:9" ht="18" x14ac:dyDescent="0.3">
      <c r="A76" s="130" t="s">
        <v>26</v>
      </c>
      <c r="B76" s="175">
        <f>B37+E37+H37</f>
        <v>0</v>
      </c>
      <c r="C76" s="176"/>
      <c r="D76" s="177"/>
      <c r="E76" s="84"/>
      <c r="F76" s="52" t="s">
        <v>27</v>
      </c>
      <c r="G76" s="170" t="s">
        <v>28</v>
      </c>
      <c r="H76" s="171"/>
      <c r="I76" s="172"/>
    </row>
    <row r="77" spans="1:9" ht="18" x14ac:dyDescent="0.3">
      <c r="A77" s="130" t="s">
        <v>29</v>
      </c>
      <c r="B77" s="167"/>
      <c r="C77" s="168"/>
      <c r="D77" s="169"/>
      <c r="E77" s="85"/>
      <c r="F77" s="52" t="s">
        <v>30</v>
      </c>
      <c r="G77" s="170" t="s">
        <v>31</v>
      </c>
      <c r="H77" s="171"/>
      <c r="I77" s="172"/>
    </row>
    <row r="78" spans="1:9" ht="18" x14ac:dyDescent="0.3">
      <c r="A78" s="130" t="s">
        <v>32</v>
      </c>
      <c r="B78" s="167"/>
      <c r="C78" s="168"/>
      <c r="D78" s="169"/>
      <c r="E78" s="86"/>
      <c r="F78" s="52" t="s">
        <v>33</v>
      </c>
      <c r="G78" s="170" t="s">
        <v>34</v>
      </c>
      <c r="H78" s="171"/>
      <c r="I78" s="172"/>
    </row>
    <row r="79" spans="1:9" ht="18" x14ac:dyDescent="0.3">
      <c r="A79" s="130" t="s">
        <v>35</v>
      </c>
      <c r="B79" s="167"/>
      <c r="C79" s="168"/>
      <c r="D79" s="169"/>
      <c r="E79" s="87"/>
      <c r="F79" s="53" t="s">
        <v>36</v>
      </c>
      <c r="G79" s="170" t="s">
        <v>37</v>
      </c>
      <c r="H79" s="171"/>
      <c r="I79" s="172"/>
    </row>
    <row r="80" spans="1:9" ht="15" thickBot="1" x14ac:dyDescent="0.35">
      <c r="A80" s="131"/>
      <c r="B80" s="132"/>
      <c r="C80" s="133"/>
      <c r="D80" s="134"/>
      <c r="E80" s="132"/>
      <c r="F80" s="133"/>
      <c r="G80" s="132"/>
      <c r="H80" s="132"/>
      <c r="I80" s="135"/>
    </row>
  </sheetData>
  <mergeCells count="29">
    <mergeCell ref="B11:C11"/>
    <mergeCell ref="E11:F11"/>
    <mergeCell ref="H11:I11"/>
    <mergeCell ref="A1:I1"/>
    <mergeCell ref="H2:I2"/>
    <mergeCell ref="G3:G5"/>
    <mergeCell ref="H3:I5"/>
    <mergeCell ref="H6:I6"/>
    <mergeCell ref="H7:I7"/>
    <mergeCell ref="H8:I8"/>
    <mergeCell ref="A9:I9"/>
    <mergeCell ref="A10:C10"/>
    <mergeCell ref="D10:F10"/>
    <mergeCell ref="G10:I10"/>
    <mergeCell ref="A39:I39"/>
    <mergeCell ref="A40:C40"/>
    <mergeCell ref="D40:I40"/>
    <mergeCell ref="B41:C41"/>
    <mergeCell ref="E41:F41"/>
    <mergeCell ref="H41:I41"/>
    <mergeCell ref="B79:D79"/>
    <mergeCell ref="G79:I79"/>
    <mergeCell ref="A57:C57"/>
    <mergeCell ref="B76:D76"/>
    <mergeCell ref="G76:I76"/>
    <mergeCell ref="B77:D77"/>
    <mergeCell ref="G77:I77"/>
    <mergeCell ref="B78:D78"/>
    <mergeCell ref="G78:I78"/>
  </mergeCells>
  <pageMargins left="0.23622047244094488" right="0" top="0.74803149606299213" bottom="0" header="0.31496062992125984" footer="0.31496062992125984"/>
  <pageSetup paperSize="9" scale="60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02DES</vt:lpstr>
      <vt:lpstr>07 DES</vt:lpstr>
      <vt:lpstr>14 DES</vt:lpstr>
      <vt:lpstr>Laporan Pengajuan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 PRO</dc:creator>
  <cp:lastModifiedBy>Muhamad</cp:lastModifiedBy>
  <cp:lastPrinted>2025-12-19T03:24:26Z</cp:lastPrinted>
  <dcterms:created xsi:type="dcterms:W3CDTF">2025-06-30T04:23:23Z</dcterms:created>
  <dcterms:modified xsi:type="dcterms:W3CDTF">2025-12-22T01:55:33Z</dcterms:modified>
</cp:coreProperties>
</file>